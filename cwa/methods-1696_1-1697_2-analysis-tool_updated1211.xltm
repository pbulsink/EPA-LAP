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codeName="ThisWorkbook"/>
  <mc:AlternateContent xmlns:mc="http://schemas.openxmlformats.org/markup-compatibility/2006">
    <mc:Choice Requires="x15">
      <x15ac:absPath xmlns:x15ac="http://schemas.microsoft.com/office/spreadsheetml/2010/11/ac" url="C:\Users\OSHANKS\OneDrive - Environmental Protection Agency (EPA)\Profile\Desktop\"/>
    </mc:Choice>
  </mc:AlternateContent>
  <xr:revisionPtr revIDLastSave="0" documentId="8_{1659F2E5-A178-4E8C-85A4-BBD040FB961E}" xr6:coauthVersionLast="47" xr6:coauthVersionMax="47" xr10:uidLastSave="{00000000-0000-0000-0000-000000000000}"/>
  <workbookProtection workbookAlgorithmName="SHA-512" workbookHashValue="MyZvjG7jAIVzgSPR8IMcKtHrjJ9EGNQSsLfEezeRsq7qe5RJCiIOTOzoNRDSzDi2XnCpd4x3qMynFQOCW6H0PQ==" workbookSaltValue="Tkxb4uV/SUTJZjZHC+5Jsg==" workbookSpinCount="100000" lockStructure="1"/>
  <bookViews>
    <workbookView xWindow="2100" yWindow="645" windowWidth="24915" windowHeight="18135" tabRatio="822" xr2:uid="{00000000-000D-0000-FFFF-FFFF00000000}"/>
  </bookViews>
  <sheets>
    <sheet name="Instructions" sheetId="10" r:id="rId1"/>
    <sheet name="Standards_Data" sheetId="6" r:id="rId2"/>
    <sheet name="Sketa22_Data" sheetId="5" r:id="rId3"/>
    <sheet name="Samples_Data" sheetId="7" r:id="rId4"/>
    <sheet name="Final Report" sheetId="9"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4" i="6" l="1"/>
  <c r="F23" i="6"/>
  <c r="F22" i="6"/>
  <c r="F21" i="6"/>
  <c r="F20" i="6"/>
  <c r="F19" i="6"/>
  <c r="F18" i="6"/>
  <c r="F17" i="6"/>
  <c r="F16" i="6"/>
  <c r="F15" i="6"/>
  <c r="F14" i="6"/>
  <c r="F13" i="6"/>
  <c r="F12" i="6"/>
  <c r="F11" i="6"/>
  <c r="F10" i="6"/>
  <c r="F18" i="5"/>
  <c r="F19" i="5"/>
  <c r="F20" i="5"/>
  <c r="F21" i="5"/>
  <c r="C14" i="9" l="1"/>
  <c r="C13" i="9"/>
  <c r="F23" i="5"/>
  <c r="F22" i="5"/>
  <c r="M25" i="6"/>
  <c r="N66" i="7" s="1"/>
  <c r="G18" i="5" l="1"/>
  <c r="N17" i="7"/>
  <c r="N21" i="7"/>
  <c r="N35" i="7"/>
  <c r="N18" i="7"/>
  <c r="N22" i="7"/>
  <c r="N37" i="7"/>
  <c r="N15" i="7"/>
  <c r="N19" i="7"/>
  <c r="N23" i="7"/>
  <c r="N16" i="7"/>
  <c r="N20" i="7"/>
  <c r="N24" i="7"/>
  <c r="N39" i="7"/>
  <c r="N42" i="7"/>
  <c r="N46" i="7"/>
  <c r="N6" i="7"/>
  <c r="N49" i="7"/>
  <c r="N50" i="7"/>
  <c r="N10" i="7"/>
  <c r="N51" i="7"/>
  <c r="N43" i="7"/>
  <c r="N45" i="7"/>
  <c r="N4" i="7"/>
  <c r="N48" i="7"/>
  <c r="N8" i="7"/>
  <c r="N9" i="7"/>
  <c r="N11" i="7"/>
  <c r="N52" i="7"/>
  <c r="N41" i="7"/>
  <c r="N47" i="7"/>
  <c r="N7" i="7"/>
  <c r="N12" i="7"/>
  <c r="N53" i="7"/>
  <c r="N36" i="7"/>
  <c r="N38" i="7"/>
  <c r="N40" i="7"/>
  <c r="N44" i="7"/>
  <c r="N5" i="7"/>
  <c r="N54" i="7"/>
  <c r="N13" i="7"/>
  <c r="N55" i="7"/>
  <c r="N14" i="7"/>
  <c r="N56" i="7"/>
  <c r="N57" i="7"/>
  <c r="N58" i="7"/>
  <c r="N59" i="7"/>
  <c r="N28" i="7"/>
  <c r="N60" i="7"/>
  <c r="N25" i="7"/>
  <c r="N26" i="7"/>
  <c r="N27" i="7"/>
  <c r="N61" i="7"/>
  <c r="N30" i="7"/>
  <c r="N63" i="7"/>
  <c r="N32" i="7"/>
  <c r="N64" i="7"/>
  <c r="N29" i="7"/>
  <c r="N62" i="7"/>
  <c r="N31" i="7"/>
  <c r="N33" i="7"/>
  <c r="N65" i="7"/>
  <c r="N34" i="7"/>
  <c r="B65" i="9" l="1"/>
  <c r="B64" i="9"/>
  <c r="B63" i="9"/>
  <c r="B62" i="9"/>
  <c r="B61" i="9"/>
  <c r="B59" i="9"/>
  <c r="B60" i="9"/>
  <c r="A36" i="9" l="1"/>
  <c r="D29" i="9"/>
  <c r="F27" i="9" l="1"/>
  <c r="G27" i="9"/>
  <c r="A59" i="9"/>
  <c r="D28" i="9"/>
  <c r="D26" i="9"/>
  <c r="D25" i="9"/>
  <c r="D24" i="9"/>
  <c r="A6" i="9"/>
  <c r="P4" i="7" l="1"/>
  <c r="G73" i="7" s="1"/>
  <c r="N73" i="7" s="1"/>
  <c r="Z45" i="6" l="1"/>
  <c r="Z44" i="6"/>
  <c r="Z43" i="6"/>
  <c r="Z42" i="6"/>
  <c r="Z41" i="6"/>
  <c r="Z40" i="6"/>
  <c r="Z39" i="6"/>
  <c r="Z38" i="6"/>
  <c r="Z37" i="6"/>
  <c r="Z36" i="6"/>
  <c r="Z35" i="6"/>
  <c r="Z34" i="6"/>
  <c r="Z33" i="6"/>
  <c r="Z32" i="6"/>
  <c r="Z31" i="6"/>
  <c r="P64" i="7" l="1"/>
  <c r="G93" i="7" s="1"/>
  <c r="N93" i="7" s="1"/>
  <c r="P61" i="7"/>
  <c r="G92" i="7" s="1"/>
  <c r="N92" i="7" s="1"/>
  <c r="P58" i="7"/>
  <c r="G91" i="7" s="1"/>
  <c r="N91" i="7" s="1"/>
  <c r="P55" i="7"/>
  <c r="G90" i="7" s="1"/>
  <c r="N90" i="7" s="1"/>
  <c r="P52" i="7"/>
  <c r="G89" i="7" s="1"/>
  <c r="N89" i="7" s="1"/>
  <c r="P49" i="7"/>
  <c r="G88" i="7" s="1"/>
  <c r="N88" i="7" s="1"/>
  <c r="P46" i="7"/>
  <c r="G87" i="7" s="1"/>
  <c r="N87" i="7" s="1"/>
  <c r="P43" i="7"/>
  <c r="G86" i="7" s="1"/>
  <c r="N86" i="7" s="1"/>
  <c r="P40" i="7"/>
  <c r="G85" i="7" s="1"/>
  <c r="N85" i="7" s="1"/>
  <c r="P37" i="7"/>
  <c r="P34" i="7"/>
  <c r="P31" i="7"/>
  <c r="P28" i="7"/>
  <c r="P25" i="7"/>
  <c r="P22" i="7"/>
  <c r="P19" i="7"/>
  <c r="P16" i="7"/>
  <c r="P13" i="7"/>
  <c r="G76" i="7" s="1"/>
  <c r="N76" i="7" s="1"/>
  <c r="P10" i="7"/>
  <c r="G75" i="7" s="1"/>
  <c r="N75" i="7" s="1"/>
  <c r="P7" i="7"/>
  <c r="G74" i="7" s="1"/>
  <c r="N74" i="7" s="1"/>
  <c r="J7" i="5"/>
  <c r="I7" i="5"/>
  <c r="J5" i="5"/>
  <c r="I5" i="5"/>
  <c r="O4" i="5"/>
  <c r="M23" i="6"/>
  <c r="M5" i="6"/>
  <c r="M4" i="6"/>
  <c r="X22" i="6" l="1"/>
  <c r="Y22" i="6" s="1"/>
  <c r="X18" i="6"/>
  <c r="Y18" i="6" s="1"/>
  <c r="X14" i="6"/>
  <c r="Y14" i="6" s="1"/>
  <c r="X10" i="6"/>
  <c r="Y10" i="6" s="1"/>
  <c r="X17" i="6"/>
  <c r="Y17" i="6" s="1"/>
  <c r="X24" i="6"/>
  <c r="Y24" i="6" s="1"/>
  <c r="X20" i="6"/>
  <c r="Y20" i="6" s="1"/>
  <c r="X16" i="6"/>
  <c r="Y16" i="6" s="1"/>
  <c r="X12" i="6"/>
  <c r="Y12" i="6" s="1"/>
  <c r="X21" i="6"/>
  <c r="Y21" i="6" s="1"/>
  <c r="X23" i="6"/>
  <c r="Y23" i="6" s="1"/>
  <c r="X19" i="6"/>
  <c r="Y19" i="6" s="1"/>
  <c r="X15" i="6"/>
  <c r="Y15" i="6" s="1"/>
  <c r="X11" i="6"/>
  <c r="Y11" i="6" s="1"/>
  <c r="X13" i="6"/>
  <c r="Y13" i="6" s="1"/>
  <c r="AH24" i="6"/>
  <c r="AH12" i="6"/>
  <c r="AH23" i="6"/>
  <c r="AH11" i="6"/>
  <c r="AH22" i="6"/>
  <c r="AH13" i="6"/>
  <c r="AH21" i="6"/>
  <c r="AH20" i="6"/>
  <c r="AH19" i="6"/>
  <c r="AH18" i="6"/>
  <c r="AH17" i="6"/>
  <c r="AH16" i="6"/>
  <c r="AH15" i="6"/>
  <c r="AH14" i="6"/>
  <c r="AH10" i="6"/>
  <c r="R4" i="7"/>
  <c r="I6" i="5"/>
  <c r="K7" i="5"/>
  <c r="L7" i="5" s="1"/>
  <c r="J6" i="5"/>
  <c r="K5" i="5"/>
  <c r="C42" i="9"/>
  <c r="M73" i="7"/>
  <c r="M93" i="7"/>
  <c r="M86" i="7"/>
  <c r="M76" i="7"/>
  <c r="M92" i="7"/>
  <c r="M88" i="7"/>
  <c r="M81" i="7"/>
  <c r="M91" i="7"/>
  <c r="M87" i="7"/>
  <c r="M85" i="7"/>
  <c r="M84" i="7"/>
  <c r="M77" i="7"/>
  <c r="M90" i="7"/>
  <c r="M82" i="7"/>
  <c r="M80" i="7"/>
  <c r="M78" i="7"/>
  <c r="M89" i="7"/>
  <c r="M83" i="7"/>
  <c r="M79" i="7"/>
  <c r="M74" i="7"/>
  <c r="M75" i="7"/>
  <c r="K73" i="7"/>
  <c r="D13" i="9"/>
  <c r="K87" i="7"/>
  <c r="K88" i="7"/>
  <c r="K89" i="7"/>
  <c r="K85" i="7"/>
  <c r="K90" i="7"/>
  <c r="K91" i="7"/>
  <c r="K86" i="7"/>
  <c r="K92" i="7"/>
  <c r="K93" i="7"/>
  <c r="F29" i="9"/>
  <c r="G29" i="9" s="1"/>
  <c r="C36" i="9"/>
  <c r="M18" i="6"/>
  <c r="K75" i="7"/>
  <c r="K74" i="7"/>
  <c r="R10" i="7"/>
  <c r="R7" i="7"/>
  <c r="K76" i="7"/>
  <c r="G77" i="7"/>
  <c r="N77" i="7" s="1"/>
  <c r="R16" i="7"/>
  <c r="G81" i="7"/>
  <c r="N81" i="7" s="1"/>
  <c r="R28" i="7"/>
  <c r="G80" i="7"/>
  <c r="N80" i="7" s="1"/>
  <c r="R25" i="7"/>
  <c r="G84" i="7"/>
  <c r="N84" i="7" s="1"/>
  <c r="R37" i="7"/>
  <c r="G79" i="7"/>
  <c r="N79" i="7" s="1"/>
  <c r="R22" i="7"/>
  <c r="G83" i="7"/>
  <c r="N83" i="7" s="1"/>
  <c r="R34" i="7"/>
  <c r="G78" i="7"/>
  <c r="N78" i="7" s="1"/>
  <c r="R19" i="7"/>
  <c r="G82" i="7"/>
  <c r="N82" i="7" s="1"/>
  <c r="R31" i="7"/>
  <c r="R40" i="7"/>
  <c r="R43" i="7"/>
  <c r="R46" i="7"/>
  <c r="R49" i="7"/>
  <c r="R52" i="7"/>
  <c r="R55" i="7"/>
  <c r="R58" i="7"/>
  <c r="R64" i="7"/>
  <c r="R61" i="7"/>
  <c r="R13" i="7"/>
  <c r="K6" i="5" l="1"/>
  <c r="L6" i="5" s="1"/>
  <c r="L5" i="5" s="1"/>
  <c r="O5" i="5" s="1"/>
  <c r="S23" i="7" s="1"/>
  <c r="K60" i="7"/>
  <c r="L60" i="7" s="1"/>
  <c r="K47" i="7"/>
  <c r="L47" i="7" s="1"/>
  <c r="K38" i="7"/>
  <c r="L38" i="7" s="1"/>
  <c r="K59" i="7"/>
  <c r="L59" i="7" s="1"/>
  <c r="K17" i="7"/>
  <c r="L17" i="7" s="1"/>
  <c r="K12" i="7"/>
  <c r="L12" i="7" s="1"/>
  <c r="K65" i="7"/>
  <c r="L65" i="7" s="1"/>
  <c r="K58" i="7"/>
  <c r="L58" i="7" s="1"/>
  <c r="K63" i="7"/>
  <c r="L63" i="7" s="1"/>
  <c r="K57" i="7"/>
  <c r="L57" i="7" s="1"/>
  <c r="K56" i="7"/>
  <c r="L56" i="7" s="1"/>
  <c r="K49" i="7"/>
  <c r="L49" i="7" s="1"/>
  <c r="K48" i="7"/>
  <c r="L48" i="7" s="1"/>
  <c r="K55" i="7"/>
  <c r="L55" i="7" s="1"/>
  <c r="K8" i="7"/>
  <c r="L8" i="7" s="1"/>
  <c r="K61" i="7"/>
  <c r="L61" i="7" s="1"/>
  <c r="K54" i="7"/>
  <c r="L54" i="7" s="1"/>
  <c r="K53" i="7"/>
  <c r="L53" i="7" s="1"/>
  <c r="K21" i="7"/>
  <c r="L21" i="7" s="1"/>
  <c r="K52" i="7"/>
  <c r="L52" i="7" s="1"/>
  <c r="K20" i="7"/>
  <c r="L20" i="7" s="1"/>
  <c r="K35" i="7"/>
  <c r="L35" i="7" s="1"/>
  <c r="K51" i="7"/>
  <c r="L51" i="7" s="1"/>
  <c r="K45" i="7"/>
  <c r="L45" i="7" s="1"/>
  <c r="K44" i="7"/>
  <c r="L44" i="7" s="1"/>
  <c r="K9" i="7"/>
  <c r="L9" i="7" s="1"/>
  <c r="K39" i="7"/>
  <c r="L39" i="7" s="1"/>
  <c r="K66" i="7"/>
  <c r="L66" i="7" s="1"/>
  <c r="K50" i="7"/>
  <c r="L50" i="7" s="1"/>
  <c r="K18" i="7"/>
  <c r="L18" i="7" s="1"/>
  <c r="K36" i="7"/>
  <c r="K62" i="7"/>
  <c r="L62" i="7" s="1"/>
  <c r="K11" i="7"/>
  <c r="L11" i="7" s="1"/>
  <c r="K64" i="7"/>
  <c r="L64" i="7" s="1"/>
  <c r="Q10" i="7"/>
  <c r="Q7" i="7"/>
  <c r="C37" i="9"/>
  <c r="AI13" i="6"/>
  <c r="Q16" i="7"/>
  <c r="Q37" i="7"/>
  <c r="Q55" i="7"/>
  <c r="Q43" i="7"/>
  <c r="Q64" i="7"/>
  <c r="Q28" i="7"/>
  <c r="Q19" i="7"/>
  <c r="Q34" i="7"/>
  <c r="Q25" i="7"/>
  <c r="Q61" i="7"/>
  <c r="Q52" i="7"/>
  <c r="Q46" i="7"/>
  <c r="K78" i="7"/>
  <c r="K81" i="7"/>
  <c r="K80" i="7"/>
  <c r="K79" i="7"/>
  <c r="K77" i="7"/>
  <c r="AI22" i="6"/>
  <c r="K84" i="7"/>
  <c r="K83" i="7"/>
  <c r="K82" i="7"/>
  <c r="AI16" i="6"/>
  <c r="AI19" i="6"/>
  <c r="AI10" i="6"/>
  <c r="Z22" i="6"/>
  <c r="AA22" i="6" s="1"/>
  <c r="AB22" i="6" s="1"/>
  <c r="AC22" i="6" s="1"/>
  <c r="AF22" i="6" s="1"/>
  <c r="AA43" i="6" s="1"/>
  <c r="Z16" i="6"/>
  <c r="AA16" i="6" s="1"/>
  <c r="Z13" i="6"/>
  <c r="AA13" i="6" s="1"/>
  <c r="AB13" i="6" s="1"/>
  <c r="AC13" i="6" s="1"/>
  <c r="Z11" i="6"/>
  <c r="AA11" i="6" s="1"/>
  <c r="AB11" i="6" s="1"/>
  <c r="AC11" i="6" s="1"/>
  <c r="Z20" i="6"/>
  <c r="AA20" i="6" s="1"/>
  <c r="AB20" i="6" s="1"/>
  <c r="AC20" i="6" s="1"/>
  <c r="Z21" i="6"/>
  <c r="AA21" i="6" s="1"/>
  <c r="AB21" i="6" s="1"/>
  <c r="AC21" i="6" s="1"/>
  <c r="Z14" i="6"/>
  <c r="AA14" i="6" s="1"/>
  <c r="AB14" i="6" s="1"/>
  <c r="AC14" i="6" s="1"/>
  <c r="Z24" i="6"/>
  <c r="AA24" i="6" s="1"/>
  <c r="AB24" i="6" s="1"/>
  <c r="AC24" i="6" s="1"/>
  <c r="Z12" i="6"/>
  <c r="AA12" i="6" s="1"/>
  <c r="AB12" i="6" s="1"/>
  <c r="AC12" i="6" s="1"/>
  <c r="Z17" i="6"/>
  <c r="AA17" i="6" s="1"/>
  <c r="AB17" i="6" s="1"/>
  <c r="AC17" i="6" s="1"/>
  <c r="Z10" i="6"/>
  <c r="AA10" i="6" s="1"/>
  <c r="AB10" i="6" s="1"/>
  <c r="AC10" i="6" s="1"/>
  <c r="Z23" i="6"/>
  <c r="AA23" i="6" s="1"/>
  <c r="AB23" i="6" s="1"/>
  <c r="AC23" i="6" s="1"/>
  <c r="Z19" i="6"/>
  <c r="AA19" i="6" s="1"/>
  <c r="AB19" i="6" s="1"/>
  <c r="AC19" i="6" s="1"/>
  <c r="Z18" i="6"/>
  <c r="AA18" i="6" s="1"/>
  <c r="AB18" i="6" s="1"/>
  <c r="AC18" i="6" s="1"/>
  <c r="Z15" i="6"/>
  <c r="AA15" i="6" s="1"/>
  <c r="AB15" i="6" s="1"/>
  <c r="AC15" i="6" s="1"/>
  <c r="AK10" i="6" l="1"/>
  <c r="AL10" i="6"/>
  <c r="AK13" i="6"/>
  <c r="AL13" i="6"/>
  <c r="AK19" i="6"/>
  <c r="AL19" i="6"/>
  <c r="AK16" i="6"/>
  <c r="AL16" i="6"/>
  <c r="AK22" i="6"/>
  <c r="AL22" i="6"/>
  <c r="S21" i="7"/>
  <c r="T51" i="7"/>
  <c r="S47" i="7"/>
  <c r="T36" i="7"/>
  <c r="Q22" i="7"/>
  <c r="F30" i="9"/>
  <c r="Q40" i="7"/>
  <c r="J80" i="7"/>
  <c r="S54" i="7"/>
  <c r="Q31" i="7"/>
  <c r="T32" i="7"/>
  <c r="H83" i="7"/>
  <c r="Q13" i="7"/>
  <c r="S53" i="7"/>
  <c r="Q49" i="7"/>
  <c r="H91" i="7"/>
  <c r="O6" i="5"/>
  <c r="G30" i="9" s="1"/>
  <c r="S61" i="7"/>
  <c r="T16" i="7"/>
  <c r="U16" i="7" s="1"/>
  <c r="Q58" i="7"/>
  <c r="Q4" i="7"/>
  <c r="L75" i="7"/>
  <c r="T12" i="7"/>
  <c r="J87" i="7"/>
  <c r="T33" i="7"/>
  <c r="H87" i="7"/>
  <c r="T27" i="7"/>
  <c r="S59" i="7"/>
  <c r="J93" i="7"/>
  <c r="T31" i="7"/>
  <c r="T8" i="7"/>
  <c r="T15" i="7"/>
  <c r="J79" i="7"/>
  <c r="S8" i="7"/>
  <c r="L80" i="7"/>
  <c r="T17" i="7"/>
  <c r="S7" i="7"/>
  <c r="T11" i="7"/>
  <c r="S43" i="7"/>
  <c r="T57" i="7"/>
  <c r="T55" i="7"/>
  <c r="U55" i="7" s="1"/>
  <c r="L76" i="7"/>
  <c r="H82" i="7"/>
  <c r="J81" i="7"/>
  <c r="T6" i="7"/>
  <c r="S51" i="7"/>
  <c r="S50" i="7"/>
  <c r="H85" i="7"/>
  <c r="S9" i="7"/>
  <c r="H92" i="7"/>
  <c r="S26" i="7"/>
  <c r="S64" i="7"/>
  <c r="L82" i="7"/>
  <c r="S34" i="7"/>
  <c r="T9" i="7"/>
  <c r="J76" i="7"/>
  <c r="T19" i="7"/>
  <c r="U20" i="7" s="1"/>
  <c r="H74" i="7"/>
  <c r="T43" i="7"/>
  <c r="U43" i="7" s="1"/>
  <c r="T52" i="7"/>
  <c r="U52" i="7" s="1"/>
  <c r="S57" i="7"/>
  <c r="S40" i="7"/>
  <c r="L77" i="7"/>
  <c r="T13" i="7"/>
  <c r="J77" i="7"/>
  <c r="S5" i="7"/>
  <c r="S17" i="7"/>
  <c r="L87" i="7"/>
  <c r="S31" i="7"/>
  <c r="S36" i="7"/>
  <c r="T21" i="7"/>
  <c r="S18" i="7"/>
  <c r="T42" i="7"/>
  <c r="J84" i="7"/>
  <c r="H78" i="7"/>
  <c r="S4" i="7"/>
  <c r="S16" i="7"/>
  <c r="T62" i="7"/>
  <c r="T48" i="7"/>
  <c r="T23" i="7"/>
  <c r="T54" i="7"/>
  <c r="S63" i="7"/>
  <c r="T65" i="7"/>
  <c r="J88" i="7"/>
  <c r="S20" i="7"/>
  <c r="S32" i="7"/>
  <c r="L89" i="7"/>
  <c r="T59" i="7"/>
  <c r="L83" i="7"/>
  <c r="L79" i="7"/>
  <c r="T30" i="7"/>
  <c r="S46" i="7"/>
  <c r="T29" i="7"/>
  <c r="L88" i="7"/>
  <c r="H79" i="7"/>
  <c r="H84" i="7"/>
  <c r="H77" i="7"/>
  <c r="J78" i="7"/>
  <c r="T4" i="7"/>
  <c r="C40" i="9"/>
  <c r="S66" i="7"/>
  <c r="S12" i="7"/>
  <c r="S38" i="7"/>
  <c r="L90" i="7"/>
  <c r="S37" i="7"/>
  <c r="S55" i="7"/>
  <c r="S25" i="7"/>
  <c r="J73" i="7"/>
  <c r="T26" i="7"/>
  <c r="J92" i="7"/>
  <c r="T49" i="7"/>
  <c r="T58" i="7"/>
  <c r="S19" i="7"/>
  <c r="S35" i="7"/>
  <c r="T7" i="7"/>
  <c r="U7" i="7" s="1"/>
  <c r="H88" i="7"/>
  <c r="L93" i="7"/>
  <c r="J90" i="7"/>
  <c r="S30" i="7"/>
  <c r="S15" i="7"/>
  <c r="J91" i="7"/>
  <c r="T35" i="7"/>
  <c r="T28" i="7"/>
  <c r="U30" i="7" s="1"/>
  <c r="S29" i="7"/>
  <c r="S39" i="7"/>
  <c r="T50" i="7"/>
  <c r="T25" i="7"/>
  <c r="U27" i="7" s="1"/>
  <c r="S45" i="7"/>
  <c r="T45" i="7"/>
  <c r="H86" i="7"/>
  <c r="S49" i="7"/>
  <c r="L74" i="7"/>
  <c r="T39" i="7"/>
  <c r="T10" i="7"/>
  <c r="U11" i="7" s="1"/>
  <c r="S27" i="7"/>
  <c r="J85" i="7"/>
  <c r="H76" i="7"/>
  <c r="H90" i="7"/>
  <c r="H80" i="7"/>
  <c r="J82" i="7"/>
  <c r="J83" i="7"/>
  <c r="H81" i="7"/>
  <c r="T5" i="7"/>
  <c r="S6" i="7"/>
  <c r="T24" i="7"/>
  <c r="T37" i="7"/>
  <c r="U38" i="7" s="1"/>
  <c r="T61" i="7"/>
  <c r="U63" i="7" s="1"/>
  <c r="L85" i="7"/>
  <c r="S48" i="7"/>
  <c r="S58" i="7"/>
  <c r="J89" i="7"/>
  <c r="T34" i="7"/>
  <c r="U34" i="7" s="1"/>
  <c r="H89" i="7"/>
  <c r="S11" i="7"/>
  <c r="H73" i="7"/>
  <c r="L78" i="7"/>
  <c r="S65" i="7"/>
  <c r="S44" i="7"/>
  <c r="L81" i="7"/>
  <c r="S42" i="7"/>
  <c r="T60" i="7"/>
  <c r="T46" i="7"/>
  <c r="U48" i="7" s="1"/>
  <c r="L73" i="7"/>
  <c r="T63" i="7"/>
  <c r="S41" i="7"/>
  <c r="L92" i="7"/>
  <c r="T44" i="7"/>
  <c r="J74" i="7"/>
  <c r="L84" i="7"/>
  <c r="T64" i="7"/>
  <c r="U64" i="7" s="1"/>
  <c r="L86" i="7"/>
  <c r="S56" i="7"/>
  <c r="T41" i="7"/>
  <c r="S28" i="7"/>
  <c r="T66" i="7"/>
  <c r="H93" i="7"/>
  <c r="T53" i="7"/>
  <c r="H75" i="7"/>
  <c r="J75" i="7"/>
  <c r="C41" i="9"/>
  <c r="T38" i="7"/>
  <c r="S13" i="7"/>
  <c r="S33" i="7"/>
  <c r="S52" i="7"/>
  <c r="J86" i="7"/>
  <c r="T56" i="7"/>
  <c r="S60" i="7"/>
  <c r="S62" i="7"/>
  <c r="T14" i="7"/>
  <c r="S24" i="7"/>
  <c r="S10" i="7"/>
  <c r="T22" i="7"/>
  <c r="T47" i="7"/>
  <c r="T40" i="7"/>
  <c r="T18" i="7"/>
  <c r="T20" i="7"/>
  <c r="S22" i="7"/>
  <c r="L91" i="7"/>
  <c r="S14" i="7"/>
  <c r="M66" i="7"/>
  <c r="M53" i="7"/>
  <c r="M55" i="7"/>
  <c r="M61" i="7"/>
  <c r="M50" i="7"/>
  <c r="M60" i="7"/>
  <c r="M57" i="7"/>
  <c r="M59" i="7"/>
  <c r="M63" i="7"/>
  <c r="M58" i="7"/>
  <c r="M64" i="7"/>
  <c r="M52" i="7"/>
  <c r="M49" i="7"/>
  <c r="M54" i="7"/>
  <c r="M51" i="7"/>
  <c r="M62" i="7"/>
  <c r="M65" i="7"/>
  <c r="M56" i="7"/>
  <c r="AB16" i="6"/>
  <c r="AC16" i="6" s="1"/>
  <c r="AE22" i="6"/>
  <c r="AE10" i="6"/>
  <c r="AF10" i="6"/>
  <c r="AA31" i="6" s="1"/>
  <c r="AE24" i="6"/>
  <c r="AF24" i="6"/>
  <c r="AA45" i="6" s="1"/>
  <c r="AE17" i="6"/>
  <c r="AF17" i="6"/>
  <c r="AE11" i="6"/>
  <c r="AF11" i="6"/>
  <c r="AF14" i="6"/>
  <c r="AE14" i="6"/>
  <c r="AF13" i="6"/>
  <c r="AE13" i="6"/>
  <c r="AF21" i="6"/>
  <c r="AA42" i="6" s="1"/>
  <c r="AE21" i="6"/>
  <c r="AF12" i="6"/>
  <c r="AE12" i="6"/>
  <c r="AE20" i="6"/>
  <c r="AF20" i="6"/>
  <c r="AA41" i="6" s="1"/>
  <c r="AF19" i="6"/>
  <c r="AA40" i="6" s="1"/>
  <c r="AE19" i="6"/>
  <c r="AF18" i="6"/>
  <c r="AA39" i="6" s="1"/>
  <c r="AE18" i="6"/>
  <c r="AE23" i="6"/>
  <c r="AF23" i="6"/>
  <c r="AA44" i="6" s="1"/>
  <c r="AF15" i="6"/>
  <c r="AE15" i="6"/>
  <c r="U31" i="7" l="1"/>
  <c r="U23" i="7"/>
  <c r="U41" i="7"/>
  <c r="U58" i="7"/>
  <c r="U13" i="7"/>
  <c r="U6" i="7"/>
  <c r="U49" i="7"/>
  <c r="U17" i="7"/>
  <c r="U18" i="7"/>
  <c r="U51" i="7"/>
  <c r="U44" i="7"/>
  <c r="U62" i="7"/>
  <c r="U15" i="7"/>
  <c r="U33" i="7"/>
  <c r="U32" i="7"/>
  <c r="U25" i="7"/>
  <c r="U47" i="7"/>
  <c r="U5" i="7"/>
  <c r="U50" i="7"/>
  <c r="U28" i="7"/>
  <c r="U45" i="7"/>
  <c r="U4" i="7"/>
  <c r="U40" i="7"/>
  <c r="U29" i="7"/>
  <c r="U12" i="7"/>
  <c r="U8" i="7"/>
  <c r="U26" i="7"/>
  <c r="U14" i="7"/>
  <c r="U54" i="7"/>
  <c r="U21" i="7"/>
  <c r="U36" i="7"/>
  <c r="U61" i="7"/>
  <c r="U19" i="7"/>
  <c r="U9" i="7"/>
  <c r="U35" i="7"/>
  <c r="U56" i="7"/>
  <c r="U53" i="7"/>
  <c r="U57" i="7"/>
  <c r="U39" i="7"/>
  <c r="U66" i="7"/>
  <c r="U42" i="7"/>
  <c r="U60" i="7"/>
  <c r="U59" i="7"/>
  <c r="U46" i="7"/>
  <c r="U10" i="7"/>
  <c r="U65" i="7"/>
  <c r="U37" i="7"/>
  <c r="AA33" i="6"/>
  <c r="AA32" i="6"/>
  <c r="U24" i="7"/>
  <c r="U22" i="7"/>
  <c r="AA34" i="6"/>
  <c r="AA38" i="6"/>
  <c r="AA36" i="6"/>
  <c r="AA35" i="6"/>
  <c r="M16" i="6"/>
  <c r="D14" i="9" s="1"/>
  <c r="AE16" i="6"/>
  <c r="M24" i="6"/>
  <c r="C12" i="9" s="1"/>
  <c r="AF16" i="6"/>
  <c r="AA37" i="6" s="1"/>
  <c r="AG10" i="6" l="1"/>
  <c r="AG11" i="6"/>
  <c r="AG14" i="6"/>
  <c r="AG22" i="6"/>
  <c r="AG20" i="6"/>
  <c r="AG23" i="6"/>
  <c r="AG24" i="6"/>
  <c r="AG19" i="6"/>
  <c r="AG21" i="6"/>
  <c r="AG12" i="6"/>
  <c r="M7" i="6"/>
  <c r="AG17" i="6"/>
  <c r="M11" i="6"/>
  <c r="AG13" i="6"/>
  <c r="AG18" i="6"/>
  <c r="AG15" i="6"/>
  <c r="AG16" i="6"/>
  <c r="C7" i="9" l="1"/>
  <c r="M22" i="6"/>
  <c r="M20" i="6"/>
  <c r="G25" i="9" s="1"/>
  <c r="AB37" i="6"/>
  <c r="AD37" i="6" s="1"/>
  <c r="M15" i="6"/>
  <c r="C9" i="9" s="1"/>
  <c r="M12" i="6"/>
  <c r="M13" i="6" s="1"/>
  <c r="AB33" i="6"/>
  <c r="AC33" i="6" s="1"/>
  <c r="AB40" i="6"/>
  <c r="AC40" i="6" s="1"/>
  <c r="M8" i="6"/>
  <c r="D6" i="9" s="1"/>
  <c r="AB38" i="6"/>
  <c r="AC38" i="6" s="1"/>
  <c r="AB44" i="6"/>
  <c r="AD44" i="6" s="1"/>
  <c r="AB32" i="6"/>
  <c r="AC32" i="6" s="1"/>
  <c r="AB41" i="6"/>
  <c r="AC41" i="6" s="1"/>
  <c r="AB43" i="6"/>
  <c r="AC43" i="6" s="1"/>
  <c r="C6" i="9"/>
  <c r="AB45" i="6"/>
  <c r="AD45" i="6" s="1"/>
  <c r="AB34" i="6"/>
  <c r="AC34" i="6" s="1"/>
  <c r="AB31" i="6"/>
  <c r="AC31" i="6" s="1"/>
  <c r="AB39" i="6"/>
  <c r="AC39" i="6" s="1"/>
  <c r="M19" i="6"/>
  <c r="F25" i="9" s="1"/>
  <c r="M17" i="6"/>
  <c r="AB35" i="6"/>
  <c r="AD35" i="6" s="1"/>
  <c r="AB36" i="6"/>
  <c r="AD36" i="6" s="1"/>
  <c r="AB42" i="6"/>
  <c r="AC42" i="6" s="1"/>
  <c r="K10" i="7"/>
  <c r="L10" i="7" s="1"/>
  <c r="K4" i="7"/>
  <c r="L4" i="7" s="1"/>
  <c r="K6" i="7"/>
  <c r="L6" i="7" s="1"/>
  <c r="L36" i="7"/>
  <c r="AJ10" i="6"/>
  <c r="AJ18" i="6"/>
  <c r="AC45" i="6" l="1"/>
  <c r="O14" i="7"/>
  <c r="G38" i="6"/>
  <c r="G36" i="6"/>
  <c r="G37" i="6"/>
  <c r="AD40" i="6"/>
  <c r="AJ16" i="6"/>
  <c r="AJ11" i="6"/>
  <c r="AJ12" i="6"/>
  <c r="K7" i="7"/>
  <c r="L7" i="7" s="1"/>
  <c r="M8" i="7" s="1"/>
  <c r="AJ22" i="6"/>
  <c r="K31" i="7"/>
  <c r="L31" i="7" s="1"/>
  <c r="K13" i="7"/>
  <c r="L13" i="7" s="1"/>
  <c r="K16" i="7"/>
  <c r="L16" i="7" s="1"/>
  <c r="M18" i="7" s="1"/>
  <c r="K46" i="7"/>
  <c r="L46" i="7" s="1"/>
  <c r="K33" i="7"/>
  <c r="L33" i="7" s="1"/>
  <c r="K43" i="7"/>
  <c r="L43" i="7" s="1"/>
  <c r="K41" i="7"/>
  <c r="L41" i="7" s="1"/>
  <c r="K42" i="7"/>
  <c r="L42" i="7" s="1"/>
  <c r="K34" i="7"/>
  <c r="L34" i="7" s="1"/>
  <c r="M34" i="7" s="1"/>
  <c r="K19" i="7"/>
  <c r="L19" i="7" s="1"/>
  <c r="M19" i="7" s="1"/>
  <c r="K32" i="7"/>
  <c r="L32" i="7" s="1"/>
  <c r="K14" i="7"/>
  <c r="L14" i="7" s="1"/>
  <c r="K37" i="7"/>
  <c r="L37" i="7" s="1"/>
  <c r="M38" i="7" s="1"/>
  <c r="K15" i="7"/>
  <c r="L15" i="7" s="1"/>
  <c r="K40" i="7"/>
  <c r="L40" i="7" s="1"/>
  <c r="K5" i="7"/>
  <c r="L5" i="7" s="1"/>
  <c r="M4" i="7" s="1"/>
  <c r="AC36" i="6"/>
  <c r="AD42" i="6"/>
  <c r="AC37" i="6"/>
  <c r="F24" i="9"/>
  <c r="O57" i="7"/>
  <c r="O5" i="7"/>
  <c r="M21" i="6"/>
  <c r="G24" i="9" s="1"/>
  <c r="M9" i="6"/>
  <c r="AC44" i="6"/>
  <c r="AD33" i="6"/>
  <c r="D7" i="9"/>
  <c r="C38" i="9"/>
  <c r="K26" i="7"/>
  <c r="L26" i="7" s="1"/>
  <c r="K25" i="7"/>
  <c r="L25" i="7" s="1"/>
  <c r="K22" i="7"/>
  <c r="L22" i="7" s="1"/>
  <c r="K28" i="7"/>
  <c r="L28" i="7" s="1"/>
  <c r="K29" i="7"/>
  <c r="L29" i="7" s="1"/>
  <c r="K30" i="7"/>
  <c r="L30" i="7" s="1"/>
  <c r="K27" i="7"/>
  <c r="L27" i="7" s="1"/>
  <c r="K24" i="7"/>
  <c r="L24" i="7" s="1"/>
  <c r="K23" i="7"/>
  <c r="L23" i="7" s="1"/>
  <c r="AC35" i="6"/>
  <c r="AJ19" i="6"/>
  <c r="AJ21" i="6"/>
  <c r="AJ23" i="6"/>
  <c r="AJ20" i="6"/>
  <c r="AJ24" i="6"/>
  <c r="M14" i="6"/>
  <c r="O47" i="7"/>
  <c r="O30" i="7"/>
  <c r="AD43" i="6"/>
  <c r="AD38" i="6"/>
  <c r="AD31" i="6"/>
  <c r="G35" i="6"/>
  <c r="O59" i="7"/>
  <c r="O6" i="7"/>
  <c r="M10" i="6"/>
  <c r="O7" i="7"/>
  <c r="O62" i="7"/>
  <c r="O43" i="7"/>
  <c r="O12" i="7"/>
  <c r="O13" i="7"/>
  <c r="O46" i="7"/>
  <c r="I9" i="6"/>
  <c r="I8" i="6"/>
  <c r="O15" i="7"/>
  <c r="O63" i="7"/>
  <c r="O26" i="7"/>
  <c r="O42" i="7"/>
  <c r="O39" i="7"/>
  <c r="O44" i="7"/>
  <c r="AD41" i="6"/>
  <c r="AD34" i="6"/>
  <c r="C10" i="9"/>
  <c r="C11" i="9" s="1"/>
  <c r="I7" i="6"/>
  <c r="O49" i="7"/>
  <c r="O54" i="7"/>
  <c r="O38" i="7"/>
  <c r="O24" i="7"/>
  <c r="O29" i="7"/>
  <c r="O37" i="7"/>
  <c r="O58" i="7"/>
  <c r="O36" i="7"/>
  <c r="O11" i="7"/>
  <c r="O25" i="7"/>
  <c r="O21" i="7"/>
  <c r="O20" i="7"/>
  <c r="G30" i="6"/>
  <c r="G33" i="6"/>
  <c r="G31" i="6"/>
  <c r="G32" i="6"/>
  <c r="O16" i="7"/>
  <c r="O41" i="7"/>
  <c r="O31" i="7"/>
  <c r="O65" i="7"/>
  <c r="O22" i="7"/>
  <c r="O45" i="7"/>
  <c r="I5" i="6"/>
  <c r="I6" i="6"/>
  <c r="O48" i="7"/>
  <c r="O19" i="7"/>
  <c r="O4" i="7"/>
  <c r="O17" i="7"/>
  <c r="O27" i="7"/>
  <c r="O33" i="7"/>
  <c r="O50" i="7"/>
  <c r="O34" i="7"/>
  <c r="O40" i="7"/>
  <c r="O23" i="7"/>
  <c r="O18" i="7"/>
  <c r="O55" i="7"/>
  <c r="AD32" i="6"/>
  <c r="C8" i="9"/>
  <c r="AD39" i="6"/>
  <c r="G34" i="6"/>
  <c r="I4" i="6"/>
  <c r="O61" i="7"/>
  <c r="O52" i="7"/>
  <c r="O66" i="7"/>
  <c r="O9" i="7"/>
  <c r="O56" i="7"/>
  <c r="O28" i="7"/>
  <c r="O32" i="7"/>
  <c r="O10" i="7"/>
  <c r="O60" i="7"/>
  <c r="O35" i="7"/>
  <c r="O8" i="7"/>
  <c r="O53" i="7"/>
  <c r="O64" i="7"/>
  <c r="O51" i="7"/>
  <c r="AJ17" i="6"/>
  <c r="AJ14" i="6"/>
  <c r="AJ13" i="6"/>
  <c r="AJ15" i="6"/>
  <c r="M12" i="7"/>
  <c r="M11" i="7"/>
  <c r="M10" i="7"/>
  <c r="M7" i="7" l="1"/>
  <c r="H30" i="6"/>
  <c r="G28" i="9" s="1"/>
  <c r="M35" i="7"/>
  <c r="M37" i="7"/>
  <c r="M39" i="7"/>
  <c r="M16" i="7"/>
  <c r="M17" i="7"/>
  <c r="M9" i="7"/>
  <c r="M21" i="7"/>
  <c r="M36" i="7"/>
  <c r="M42" i="7"/>
  <c r="M15" i="7"/>
  <c r="M6" i="7"/>
  <c r="M40" i="7"/>
  <c r="M13" i="7"/>
  <c r="M20" i="7"/>
  <c r="M14" i="7"/>
  <c r="M5" i="7"/>
  <c r="M45" i="7"/>
  <c r="M44" i="7"/>
  <c r="M43" i="7"/>
  <c r="M41" i="7"/>
  <c r="M32" i="7"/>
  <c r="M31" i="7"/>
  <c r="M33" i="7"/>
  <c r="M47" i="7"/>
  <c r="M48" i="7"/>
  <c r="M46" i="7"/>
  <c r="M23" i="7"/>
  <c r="M24" i="7"/>
  <c r="M30" i="7"/>
  <c r="M6" i="6"/>
  <c r="M27" i="7"/>
  <c r="M25" i="7"/>
  <c r="M29" i="7"/>
  <c r="M22" i="7"/>
  <c r="M28" i="7"/>
  <c r="M26" i="7"/>
  <c r="F26" i="9"/>
  <c r="F28" i="9"/>
  <c r="V43" i="7" l="1"/>
  <c r="W43" i="7" s="1"/>
  <c r="V4" i="7"/>
  <c r="W4" i="7" s="1"/>
  <c r="V59" i="7"/>
  <c r="W59" i="7" s="1"/>
  <c r="V30" i="7"/>
  <c r="W30" i="7" s="1"/>
  <c r="V9" i="7"/>
  <c r="W9" i="7" s="1"/>
  <c r="G26" i="9"/>
  <c r="V29" i="7"/>
  <c r="W29" i="7" s="1"/>
  <c r="V12" i="7"/>
  <c r="W12" i="7" s="1"/>
  <c r="V47" i="7"/>
  <c r="W47" i="7" s="1"/>
  <c r="V56" i="7"/>
  <c r="W56" i="7" s="1"/>
  <c r="V50" i="7"/>
  <c r="W50" i="7" s="1"/>
  <c r="V16" i="7"/>
  <c r="W16" i="7" s="1"/>
  <c r="V33" i="7"/>
  <c r="W33" i="7" s="1"/>
  <c r="V25" i="7"/>
  <c r="W25" i="7" s="1"/>
  <c r="V6" i="7"/>
  <c r="W6" i="7" s="1"/>
  <c r="V65" i="7"/>
  <c r="W65" i="7" s="1"/>
  <c r="V63" i="7"/>
  <c r="W63" i="7" s="1"/>
  <c r="V42" i="7"/>
  <c r="W42" i="7" s="1"/>
  <c r="V52" i="7"/>
  <c r="W52" i="7" s="1"/>
  <c r="V22" i="7"/>
  <c r="W22" i="7" s="1"/>
  <c r="V14" i="7"/>
  <c r="W14" i="7" s="1"/>
  <c r="V5" i="7"/>
  <c r="W5" i="7" s="1"/>
  <c r="V66" i="7"/>
  <c r="W66" i="7" s="1"/>
  <c r="V8" i="7"/>
  <c r="W8" i="7" s="1"/>
  <c r="V64" i="7"/>
  <c r="W64" i="7" s="1"/>
  <c r="V18" i="7"/>
  <c r="W18" i="7" s="1"/>
  <c r="V37" i="7"/>
  <c r="W37" i="7" s="1"/>
  <c r="V62" i="7"/>
  <c r="W62" i="7" s="1"/>
  <c r="V61" i="7"/>
  <c r="W61" i="7" s="1"/>
  <c r="V34" i="7"/>
  <c r="W34" i="7" s="1"/>
  <c r="V36" i="7"/>
  <c r="W36" i="7" s="1"/>
  <c r="V21" i="7"/>
  <c r="W21" i="7" s="1"/>
  <c r="V32" i="7"/>
  <c r="W32" i="7" s="1"/>
  <c r="V17" i="7"/>
  <c r="W17" i="7" s="1"/>
  <c r="V40" i="7"/>
  <c r="W40" i="7" s="1"/>
  <c r="V49" i="7"/>
  <c r="W49" i="7" s="1"/>
  <c r="V53" i="7"/>
  <c r="W53" i="7" s="1"/>
  <c r="V23" i="7"/>
  <c r="W23" i="7" s="1"/>
  <c r="V15" i="7"/>
  <c r="W15" i="7" s="1"/>
  <c r="V48" i="7"/>
  <c r="W48" i="7" s="1"/>
  <c r="V57" i="7"/>
  <c r="W57" i="7" s="1"/>
  <c r="V44" i="7"/>
  <c r="W44" i="7" s="1"/>
  <c r="V10" i="7"/>
  <c r="W10" i="7" s="1"/>
  <c r="V38" i="7"/>
  <c r="W38" i="7" s="1"/>
  <c r="V26" i="7"/>
  <c r="W26" i="7" s="1"/>
  <c r="V31" i="7"/>
  <c r="W31" i="7" s="1"/>
  <c r="V20" i="7"/>
  <c r="W20" i="7" s="1"/>
  <c r="V58" i="7"/>
  <c r="W58" i="7" s="1"/>
  <c r="V39" i="7"/>
  <c r="W39" i="7" s="1"/>
  <c r="V27" i="7"/>
  <c r="W27" i="7" s="1"/>
  <c r="V28" i="7"/>
  <c r="W28" i="7" s="1"/>
  <c r="V41" i="7"/>
  <c r="W41" i="7" s="1"/>
  <c r="V55" i="7"/>
  <c r="W55" i="7" s="1"/>
  <c r="V7" i="7"/>
  <c r="W7" i="7" s="1"/>
  <c r="V60" i="7"/>
  <c r="W60" i="7" s="1"/>
  <c r="V54" i="7"/>
  <c r="W54" i="7" s="1"/>
  <c r="V13" i="7"/>
  <c r="W13" i="7" s="1"/>
  <c r="V45" i="7"/>
  <c r="W45" i="7" s="1"/>
  <c r="V35" i="7"/>
  <c r="W35" i="7" s="1"/>
  <c r="V11" i="7"/>
  <c r="W11" i="7" s="1"/>
  <c r="V46" i="7"/>
  <c r="W46" i="7" s="1"/>
  <c r="V51" i="7"/>
  <c r="W51" i="7" s="1"/>
  <c r="V24" i="7"/>
  <c r="W24" i="7" s="1"/>
  <c r="V19" i="7"/>
  <c r="W19" i="7" s="1"/>
  <c r="AJ4" i="7" l="1"/>
  <c r="AJ58" i="7"/>
  <c r="AJ49" i="7"/>
  <c r="AJ22" i="7"/>
  <c r="AJ13" i="7"/>
  <c r="AD52" i="7"/>
  <c r="AD59" i="7"/>
  <c r="AA22" i="7"/>
  <c r="AA31" i="7"/>
  <c r="X58" i="7"/>
  <c r="Y58" i="7" s="1"/>
  <c r="E65" i="9" s="1"/>
  <c r="AE5" i="7"/>
  <c r="AD41" i="7"/>
  <c r="X49" i="7"/>
  <c r="Y49" i="7" s="1"/>
  <c r="E64" i="9" s="1"/>
  <c r="X13" i="7"/>
  <c r="Y13" i="7" s="1"/>
  <c r="E60" i="9" s="1"/>
  <c r="AD23" i="7"/>
  <c r="X4" i="7"/>
  <c r="Y4" i="7" s="1"/>
  <c r="E59" i="9" s="1"/>
  <c r="AD50" i="7"/>
  <c r="AD61" i="7"/>
  <c r="AE16" i="7"/>
  <c r="AA49" i="7"/>
  <c r="C64" i="9" s="1"/>
  <c r="AE34" i="7"/>
  <c r="AE23" i="7"/>
  <c r="AD5" i="7"/>
  <c r="AE43" i="7"/>
  <c r="X31" i="7"/>
  <c r="Y31" i="7" s="1"/>
  <c r="E62" i="9" s="1"/>
  <c r="AA13" i="7"/>
  <c r="C60" i="9" s="1"/>
  <c r="D60" i="9" s="1"/>
  <c r="AE14" i="7"/>
  <c r="AD25" i="7"/>
  <c r="AJ31" i="7"/>
  <c r="AE41" i="7"/>
  <c r="AA4" i="7"/>
  <c r="C59" i="9" s="1"/>
  <c r="AD43" i="7"/>
  <c r="AE59" i="7"/>
  <c r="AE61" i="7"/>
  <c r="AA40" i="7"/>
  <c r="C63" i="9" s="1"/>
  <c r="D63" i="9" s="1"/>
  <c r="AD16" i="7"/>
  <c r="AJ40" i="7"/>
  <c r="AE25" i="7"/>
  <c r="AE7" i="7"/>
  <c r="AE52" i="7"/>
  <c r="AE50" i="7"/>
  <c r="AD34" i="7"/>
  <c r="AD32" i="7"/>
  <c r="AA58" i="7"/>
  <c r="C65" i="9" s="1"/>
  <c r="AE32" i="7"/>
  <c r="X22" i="7"/>
  <c r="Y22" i="7" s="1"/>
  <c r="E61" i="9" s="1"/>
  <c r="AD7" i="7"/>
  <c r="X40" i="7"/>
  <c r="Y40" i="7" s="1"/>
  <c r="E63" i="9" s="1"/>
  <c r="AD14" i="7"/>
  <c r="D59" i="9" l="1"/>
  <c r="AF5" i="7"/>
  <c r="AE6" i="7"/>
  <c r="AF7" i="7"/>
  <c r="AG7" i="7" s="1"/>
  <c r="D65" i="9"/>
  <c r="D64" i="9"/>
  <c r="AE15" i="7"/>
  <c r="AF43" i="7"/>
  <c r="AG43" i="7" s="1"/>
  <c r="AE33" i="7"/>
  <c r="C62" i="9"/>
  <c r="D62" i="9" s="1"/>
  <c r="C61" i="9"/>
  <c r="D61" i="9" s="1"/>
  <c r="AF59" i="7"/>
  <c r="AD42" i="7"/>
  <c r="AF25" i="7"/>
  <c r="AG25" i="7" s="1"/>
  <c r="AF41" i="7"/>
  <c r="AD15" i="7"/>
  <c r="AE60" i="7"/>
  <c r="AF34" i="7"/>
  <c r="AG34" i="7" s="1"/>
  <c r="AE24" i="7"/>
  <c r="AF61" i="7"/>
  <c r="AG61" i="7" s="1"/>
  <c r="AD60" i="7"/>
  <c r="AE42" i="7"/>
  <c r="AF50" i="7"/>
  <c r="AF14" i="7"/>
  <c r="AD51" i="7"/>
  <c r="AF32" i="7"/>
  <c r="AF23" i="7"/>
  <c r="AD33" i="7"/>
  <c r="AD24" i="7"/>
  <c r="AE51" i="7"/>
  <c r="AF16" i="7"/>
  <c r="AG16" i="7" s="1"/>
  <c r="AF52" i="7"/>
  <c r="AG52" i="7" s="1"/>
  <c r="AD6" i="7"/>
  <c r="AF6" i="7" l="1"/>
  <c r="AG6" i="7" s="1"/>
  <c r="AJ5" i="7" s="1"/>
  <c r="Z4" i="7" s="1"/>
  <c r="F59" i="9" s="1"/>
  <c r="AF33" i="7"/>
  <c r="AG33" i="7" s="1"/>
  <c r="AJ32" i="7" s="1"/>
  <c r="Z31" i="7" s="1"/>
  <c r="F62" i="9" s="1"/>
  <c r="AF15" i="7"/>
  <c r="AG15" i="7" s="1"/>
  <c r="AG14" i="7" s="1"/>
  <c r="AF60" i="7"/>
  <c r="AG60" i="7" s="1"/>
  <c r="AJ59" i="7" s="1"/>
  <c r="Z58" i="7" s="1"/>
  <c r="F65" i="9" s="1"/>
  <c r="AF42" i="7"/>
  <c r="AG42" i="7" s="1"/>
  <c r="AJ41" i="7" s="1"/>
  <c r="Z40" i="7" s="1"/>
  <c r="F63" i="9" s="1"/>
  <c r="AF24" i="7"/>
  <c r="AG24" i="7" s="1"/>
  <c r="AJ23" i="7" s="1"/>
  <c r="Z22" i="7" s="1"/>
  <c r="F61" i="9" s="1"/>
  <c r="AF51" i="7"/>
  <c r="AG51" i="7" s="1"/>
  <c r="AJ50" i="7" s="1"/>
  <c r="Z49" i="7" s="1"/>
  <c r="F64" i="9" s="1"/>
  <c r="AG5" i="7" l="1"/>
  <c r="AJ14" i="7"/>
  <c r="Z13" i="7" s="1"/>
  <c r="F60" i="9" s="1"/>
  <c r="AG32" i="7"/>
  <c r="AG41" i="7"/>
  <c r="AG50" i="7"/>
  <c r="AG59" i="7"/>
  <c r="AG23" i="7"/>
</calcChain>
</file>

<file path=xl/sharedStrings.xml><?xml version="1.0" encoding="utf-8"?>
<sst xmlns="http://schemas.openxmlformats.org/spreadsheetml/2006/main" count="499" uniqueCount="250">
  <si>
    <t>SS</t>
  </si>
  <si>
    <t>df</t>
  </si>
  <si>
    <t>MSS</t>
  </si>
  <si>
    <t>var.comp</t>
  </si>
  <si>
    <t>Total</t>
  </si>
  <si>
    <t>Residual</t>
  </si>
  <si>
    <t>Filter</t>
  </si>
  <si>
    <t>1- h_ii</t>
  </si>
  <si>
    <t>res</t>
  </si>
  <si>
    <t>rss_i</t>
  </si>
  <si>
    <t>sigma_i</t>
  </si>
  <si>
    <t>r_student</t>
  </si>
  <si>
    <t>outlier</t>
  </si>
  <si>
    <t>l_copy</t>
  </si>
  <si>
    <t>NTC</t>
  </si>
  <si>
    <t>sum</t>
  </si>
  <si>
    <t>max</t>
  </si>
  <si>
    <t>Cat_i</t>
  </si>
  <si>
    <t xml:space="preserve"> </t>
  </si>
  <si>
    <t>Assay</t>
  </si>
  <si>
    <t>Sketa22</t>
  </si>
  <si>
    <t>min(&lt;=1)</t>
  </si>
  <si>
    <t>max(&gt;1)</t>
  </si>
  <si>
    <t>std.error</t>
  </si>
  <si>
    <t>LLOQ</t>
  </si>
  <si>
    <t>Batch</t>
  </si>
  <si>
    <t>Run</t>
  </si>
  <si>
    <t>n</t>
  </si>
  <si>
    <t xml:space="preserve">Batch </t>
  </si>
  <si>
    <t>VIC_Cq</t>
  </si>
  <si>
    <t>FAM_Cq</t>
  </si>
  <si>
    <t>SPC Proficiency</t>
  </si>
  <si>
    <t>Metric</t>
  </si>
  <si>
    <t>Type</t>
  </si>
  <si>
    <t>Observed</t>
  </si>
  <si>
    <t>Result</t>
  </si>
  <si>
    <t>Calibration Curve Model</t>
  </si>
  <si>
    <t>Extraneous DNA</t>
  </si>
  <si>
    <t>Matrix and Amplification Control Proficiency</t>
  </si>
  <si>
    <t>E</t>
  </si>
  <si>
    <t>IAC Proficiency</t>
  </si>
  <si>
    <t>Standard Deviation</t>
  </si>
  <si>
    <t>0.90 to 1.10</t>
  </si>
  <si>
    <t>Sketa22 = MEB  standard deviation ≤ 0.62 Cq</t>
  </si>
  <si>
    <t>DNA Standard Cq values</t>
  </si>
  <si>
    <t>Fitted Model</t>
  </si>
  <si>
    <t>95% Prediction Limits</t>
  </si>
  <si>
    <t>Eligible for Cq adjustment</t>
  </si>
  <si>
    <t>Fail SPC test</t>
  </si>
  <si>
    <t>SPC Aceptance Threshold</t>
  </si>
  <si>
    <t>SPC Adjustment Threshold</t>
  </si>
  <si>
    <t>Acceptance Threshold</t>
  </si>
  <si>
    <t>Criteria</t>
  </si>
  <si>
    <t>IAC Standard Deviation</t>
  </si>
  <si>
    <t>IAC Interference Threshold</t>
  </si>
  <si>
    <t>IAC Competition Threshold</t>
  </si>
  <si>
    <t>SPC Standard Deviation</t>
  </si>
  <si>
    <t>SPC Acceptance Threshold</t>
  </si>
  <si>
    <t>Sample ID</t>
  </si>
  <si>
    <r>
      <t>R</t>
    </r>
    <r>
      <rPr>
        <vertAlign val="superscript"/>
        <sz val="11"/>
        <color theme="1"/>
        <rFont val="Calibri"/>
        <family val="2"/>
        <scheme val="minor"/>
      </rPr>
      <t>2</t>
    </r>
  </si>
  <si>
    <t># of Outliers</t>
  </si>
  <si>
    <t>Cq &gt; 30</t>
  </si>
  <si>
    <r>
      <t xml:space="preserve">HF183/BacR287 = VIC Cq standard deviation </t>
    </r>
    <r>
      <rPr>
        <sz val="10"/>
        <color theme="1"/>
        <rFont val="Calibri"/>
        <family val="2"/>
      </rPr>
      <t xml:space="preserve">≤ </t>
    </r>
    <r>
      <rPr>
        <sz val="10"/>
        <color theme="1"/>
        <rFont val="Calibri"/>
        <family val="2"/>
        <scheme val="minor"/>
      </rPr>
      <t>1.16; HumM2 = VIC Cq standard deviation ≤ 1.05</t>
    </r>
  </si>
  <si>
    <t>Mean Cq</t>
  </si>
  <si>
    <t>Slope</t>
  </si>
  <si>
    <t>Intercept</t>
  </si>
  <si>
    <t>Mean Sketa22</t>
  </si>
  <si>
    <t>NTC Pass/Fail</t>
  </si>
  <si>
    <t>NTC_Criteria</t>
  </si>
  <si>
    <t>IAC_Comp_Thr</t>
  </si>
  <si>
    <t>IAC_Int_Thr</t>
  </si>
  <si>
    <t>IAC Prof_Bound</t>
  </si>
  <si>
    <t>Int_95% UB</t>
  </si>
  <si>
    <t>Int_95% LB</t>
  </si>
  <si>
    <t>Int_std</t>
  </si>
  <si>
    <t>Slope_95% UB</t>
  </si>
  <si>
    <t>Slope_95% LB</t>
  </si>
  <si>
    <t>Slope_std</t>
  </si>
  <si>
    <t>NTC_VIC Mean</t>
  </si>
  <si>
    <t>NTC_VIC std</t>
  </si>
  <si>
    <t>Copy</t>
  </si>
  <si>
    <t>Sketa22 Cq</t>
  </si>
  <si>
    <t>Mean Cq:</t>
  </si>
  <si>
    <t>Standard Deviation:</t>
  </si>
  <si>
    <t>Filter No.</t>
  </si>
  <si>
    <t>Sketa22_Cq</t>
  </si>
  <si>
    <t>IAC_Criteria</t>
  </si>
  <si>
    <t>LLOQ_Criteria</t>
  </si>
  <si>
    <t>m_Sketa22_Cq</t>
  </si>
  <si>
    <t>IAC_Count</t>
  </si>
  <si>
    <t>IAC_Category</t>
  </si>
  <si>
    <t>Sketa22 SPC_Accpt</t>
  </si>
  <si>
    <t>Sketa22 SPC_Adj</t>
  </si>
  <si>
    <t>SPC Test Pass/Fail</t>
  </si>
  <si>
    <t>All Criteria</t>
  </si>
  <si>
    <t>Adj_FAM_Cq</t>
  </si>
  <si>
    <t>m_Cq</t>
  </si>
  <si>
    <t>Pass SPC Acceptance Threshold</t>
  </si>
  <si>
    <t>Value</t>
  </si>
  <si>
    <r>
      <rPr>
        <i/>
        <sz val="11"/>
        <color theme="1"/>
        <rFont val="Calibri"/>
        <family val="2"/>
        <scheme val="minor"/>
      </rPr>
      <t>E</t>
    </r>
    <r>
      <rPr>
        <sz val="11"/>
        <color theme="1"/>
        <rFont val="Calibri"/>
        <family val="2"/>
        <scheme val="minor"/>
      </rPr>
      <t>_Criteria</t>
    </r>
  </si>
  <si>
    <r>
      <t>R</t>
    </r>
    <r>
      <rPr>
        <vertAlign val="superscript"/>
        <sz val="11"/>
        <color theme="1"/>
        <rFont val="Calibri"/>
        <family val="2"/>
        <scheme val="minor"/>
      </rPr>
      <t>2</t>
    </r>
    <r>
      <rPr>
        <sz val="11"/>
        <color theme="1"/>
        <rFont val="Calibri"/>
        <family val="2"/>
        <scheme val="minor"/>
      </rPr>
      <t>_Criteria</t>
    </r>
  </si>
  <si>
    <t>IAC ROQ Pass/Fail</t>
  </si>
  <si>
    <t>SPC Plot Data:</t>
  </si>
  <si>
    <t>Delta</t>
  </si>
  <si>
    <r>
      <t>Log</t>
    </r>
    <r>
      <rPr>
        <b/>
        <vertAlign val="subscript"/>
        <sz val="11"/>
        <color theme="1"/>
        <rFont val="Calibri"/>
        <family val="2"/>
        <scheme val="minor"/>
      </rPr>
      <t>10</t>
    </r>
    <r>
      <rPr>
        <b/>
        <sz val="11"/>
        <color theme="1"/>
        <rFont val="Calibri"/>
        <family val="2"/>
        <scheme val="minor"/>
      </rPr>
      <t xml:space="preserve"> copies per reaction</t>
    </r>
  </si>
  <si>
    <t>Legend: "Sketa22_Data" Tab</t>
  </si>
  <si>
    <r>
      <rPr>
        <b/>
        <sz val="14"/>
        <color theme="1"/>
        <rFont val="Calibri"/>
        <family val="2"/>
        <scheme val="minor"/>
      </rPr>
      <t xml:space="preserve">Table 1: </t>
    </r>
    <r>
      <rPr>
        <sz val="14"/>
        <color theme="1"/>
        <rFont val="Calibri"/>
        <family val="2"/>
        <scheme val="minor"/>
      </rPr>
      <t xml:space="preserve"> Calibration Model Performance Metrics</t>
    </r>
  </si>
  <si>
    <r>
      <rPr>
        <b/>
        <sz val="14"/>
        <color theme="1"/>
        <rFont val="Calibri"/>
        <family val="2"/>
        <scheme val="minor"/>
      </rPr>
      <t>Figure 1:</t>
    </r>
    <r>
      <rPr>
        <sz val="14"/>
        <color theme="1"/>
        <rFont val="Calibri"/>
        <family val="2"/>
        <scheme val="minor"/>
      </rPr>
      <t xml:space="preserve"> Calibration model with 95% Prediction Interval</t>
    </r>
  </si>
  <si>
    <r>
      <rPr>
        <b/>
        <sz val="14"/>
        <color theme="1"/>
        <rFont val="Calibri"/>
        <family val="2"/>
        <scheme val="minor"/>
      </rPr>
      <t>Table 2:</t>
    </r>
    <r>
      <rPr>
        <sz val="14"/>
        <color theme="1"/>
        <rFont val="Calibri"/>
        <family val="2"/>
        <scheme val="minor"/>
      </rPr>
      <t xml:space="preserve"> Quality Control and Proficiency Metrics</t>
    </r>
  </si>
  <si>
    <r>
      <rPr>
        <b/>
        <sz val="14"/>
        <color theme="1"/>
        <rFont val="Calibri"/>
        <family val="2"/>
        <scheme val="minor"/>
      </rPr>
      <t>Table 3:</t>
    </r>
    <r>
      <rPr>
        <sz val="14"/>
        <color theme="1"/>
        <rFont val="Calibri"/>
        <family val="2"/>
        <scheme val="minor"/>
      </rPr>
      <t xml:space="preserve"> Amplification and Matrix Interference Thresholds</t>
    </r>
  </si>
  <si>
    <r>
      <rPr>
        <b/>
        <sz val="14"/>
        <color theme="1"/>
        <rFont val="Calibri"/>
        <family val="2"/>
        <scheme val="minor"/>
      </rPr>
      <t>Figure 2:</t>
    </r>
    <r>
      <rPr>
        <sz val="14"/>
        <color theme="1"/>
        <rFont val="Calibri"/>
        <family val="2"/>
        <scheme val="minor"/>
      </rPr>
      <t xml:space="preserve"> Test Filter SPC Results</t>
    </r>
  </si>
  <si>
    <r>
      <rPr>
        <b/>
        <sz val="14"/>
        <color theme="1"/>
        <rFont val="Calibri"/>
        <family val="2"/>
        <scheme val="minor"/>
      </rPr>
      <t xml:space="preserve">Table 4: </t>
    </r>
    <r>
      <rPr>
        <sz val="14"/>
        <color theme="1"/>
        <rFont val="Calibri"/>
        <family val="2"/>
        <scheme val="minor"/>
      </rPr>
      <t>Test Sample Estimated Concentrations</t>
    </r>
  </si>
  <si>
    <t>Legend: "Standards_Data" Tab</t>
  </si>
  <si>
    <t>Legend: "Samples_Data" Tab</t>
  </si>
  <si>
    <t>Legend: "Final Report" Tab</t>
  </si>
  <si>
    <t>No template control VIC mean</t>
  </si>
  <si>
    <t>No template control VIC standard deviation</t>
  </si>
  <si>
    <t>No template control Pass/Fail criteria</t>
  </si>
  <si>
    <t>Calibration model slope</t>
  </si>
  <si>
    <t>Calibration model intercept</t>
  </si>
  <si>
    <t>Calibration model slope standard deviation</t>
  </si>
  <si>
    <t>Calibration model 95% Prediction limit lower bound</t>
  </si>
  <si>
    <t>Calibration model 95% Prediction limit upper bound</t>
  </si>
  <si>
    <t>Calibration model intercept standard deviation</t>
  </si>
  <si>
    <t>Calibration model intercept 95% Prediction limit lower bound</t>
  </si>
  <si>
    <t>Calibration model 95% prediction limit upper bound</t>
  </si>
  <si>
    <t>Calibration model correliation coeficient</t>
  </si>
  <si>
    <t>Internal amplification control competition threshold</t>
  </si>
  <si>
    <t>Internal amplification control interference threshold</t>
  </si>
  <si>
    <t>Amplification efficiency</t>
  </si>
  <si>
    <t>Amplification efficiency Pass/Fail criteria</t>
  </si>
  <si>
    <t>Calibration model correlation coefficient Pass/Fail criteria</t>
  </si>
  <si>
    <t>Calibration model lower limit of quantification</t>
  </si>
  <si>
    <t>Internal amplification proficiency bound</t>
  </si>
  <si>
    <t>Calibration model number of outliers removed</t>
  </si>
  <si>
    <t>Calibration curve DNA standard log10 copies per reaction</t>
  </si>
  <si>
    <t>FAM quantification cycle</t>
  </si>
  <si>
    <t>Internal amplification range of quantification Pass/Fail</t>
  </si>
  <si>
    <r>
      <t>R</t>
    </r>
    <r>
      <rPr>
        <b/>
        <vertAlign val="superscript"/>
        <sz val="11"/>
        <color theme="1"/>
        <rFont val="Arial"/>
        <family val="2"/>
      </rPr>
      <t>2</t>
    </r>
  </si>
  <si>
    <r>
      <rPr>
        <b/>
        <i/>
        <sz val="11"/>
        <color theme="1"/>
        <rFont val="Arial"/>
        <family val="2"/>
      </rPr>
      <t>E</t>
    </r>
    <r>
      <rPr>
        <b/>
        <sz val="11"/>
        <color theme="1"/>
        <rFont val="Arial"/>
        <family val="2"/>
      </rPr>
      <t>_Criteria</t>
    </r>
  </si>
  <si>
    <r>
      <t>R</t>
    </r>
    <r>
      <rPr>
        <b/>
        <vertAlign val="superscript"/>
        <sz val="11"/>
        <color theme="1"/>
        <rFont val="Arial"/>
        <family val="2"/>
      </rPr>
      <t>2</t>
    </r>
    <r>
      <rPr>
        <b/>
        <sz val="11"/>
        <color theme="1"/>
        <rFont val="Arial"/>
        <family val="2"/>
      </rPr>
      <t>_Criteria</t>
    </r>
  </si>
  <si>
    <t>Batch number</t>
  </si>
  <si>
    <t>Filter number</t>
  </si>
  <si>
    <t>Instrument run number</t>
  </si>
  <si>
    <t>No template control Pass/Fail</t>
  </si>
  <si>
    <t>No template control Pass/Fail (1 = pass and 2 = fail)</t>
  </si>
  <si>
    <t>Sample processing control proficiency Pass/Fail</t>
  </si>
  <si>
    <t>No template control</t>
  </si>
  <si>
    <t>qPCR assay name</t>
  </si>
  <si>
    <t>qPCR assay name (HF183 or HumM2)</t>
  </si>
  <si>
    <t>Sample identification</t>
  </si>
  <si>
    <t>Sample Type</t>
  </si>
  <si>
    <t>Calibration curve DNA standard number of copies in reaction</t>
  </si>
  <si>
    <t>Internal amplifcation control VIC quantification cycle</t>
  </si>
  <si>
    <t>No template control (Pass = 1 and Fail = 2)</t>
  </si>
  <si>
    <t>Method extraction blank (Pass = 1 and Fail = 2)</t>
  </si>
  <si>
    <t>Method extraction blank Pass/Fail criteria</t>
  </si>
  <si>
    <t>HF183 or HumM2 FAM quantification cycle</t>
  </si>
  <si>
    <t>Sketa22 quantification cycle</t>
  </si>
  <si>
    <t>Internal amplification control VIC quantification cycle</t>
  </si>
  <si>
    <t>Internal amplification control category (Pass = pass; Inhibition = inhb; competition = comp)</t>
  </si>
  <si>
    <t>Internal amplification control count (Pass or Comp = 1)</t>
  </si>
  <si>
    <t>Internal amplification control Pass/Fail criteria</t>
  </si>
  <si>
    <t>Lower limit of quantification Pass/Fail criteria</t>
  </si>
  <si>
    <t>mean Sketa22 qPCR FAM quantification cycle</t>
  </si>
  <si>
    <t>Sketa22 sample processing control acceptance threshold</t>
  </si>
  <si>
    <t>Sketa22 sample processing control adjustment threshold</t>
  </si>
  <si>
    <t>Sample processing conrol Pass/Fail</t>
  </si>
  <si>
    <t>Mean quantification cycle</t>
  </si>
  <si>
    <t>Estimated log10 copies per reaction</t>
  </si>
  <si>
    <t>Standard error in adjusted FAM quantifiation cycle</t>
  </si>
  <si>
    <t>Std. Error</t>
  </si>
  <si>
    <t xml:space="preserve">ROQ (min &amp; max) </t>
  </si>
  <si>
    <t>Calibration model slope and intercpet standard error</t>
  </si>
  <si>
    <t>Calibration model amplification efficiency</t>
  </si>
  <si>
    <t>Calibration model correlation coefficient</t>
  </si>
  <si>
    <t>Number of outliers</t>
  </si>
  <si>
    <t>Calibration model range of quantification log10 copies per reaction (min = minimum and max = maximum)</t>
  </si>
  <si>
    <t>IAC ROQ (min &amp; max)</t>
  </si>
  <si>
    <t>Internal amplification control range of quantification log10 copies per reaction (min = minimum and max = maximum)</t>
  </si>
  <si>
    <t>number of individual reactions used to estimate log10 copies per reaction</t>
  </si>
  <si>
    <t>Sample No.</t>
  </si>
  <si>
    <t>Filter Rep.</t>
  </si>
  <si>
    <t>Test Filter No.</t>
  </si>
  <si>
    <r>
      <t xml:space="preserve">TABLE 1: </t>
    </r>
    <r>
      <rPr>
        <sz val="14"/>
        <color theme="1"/>
        <rFont val="Arial"/>
        <family val="2"/>
      </rPr>
      <t xml:space="preserve"> Data Entry Table for HF183/BacR287 or HumM2 NTC and Standard Results</t>
    </r>
  </si>
  <si>
    <r>
      <t xml:space="preserve">TABLE 4: </t>
    </r>
    <r>
      <rPr>
        <sz val="14"/>
        <color theme="1"/>
        <rFont val="Arial"/>
        <family val="2"/>
      </rPr>
      <t xml:space="preserve"> Data Entry Table for Sketa22 NTC Results</t>
    </r>
  </si>
  <si>
    <r>
      <t xml:space="preserve">TABLE 5: </t>
    </r>
    <r>
      <rPr>
        <sz val="14"/>
        <color theme="1"/>
        <rFont val="Arial"/>
        <family val="2"/>
      </rPr>
      <t xml:space="preserve"> Data Entry Table for Environmental Sample Results</t>
    </r>
  </si>
  <si>
    <t>Human Fecal Source Identification Results Summary</t>
  </si>
  <si>
    <t>Entering Environmental Sample Data:</t>
  </si>
  <si>
    <t>Reviewing Final Report:</t>
  </si>
  <si>
    <t>3. Cut and paste respective data from Export Data file to Table 1 for HF183/BacR287 or HumM2 Standard and NTC findings.</t>
  </si>
  <si>
    <t xml:space="preserve">2. Data only entered in Tables 1 or 2 color coded with a blue header and cells highlighted in orange. </t>
  </si>
  <si>
    <t>2. Data only entered in Tables 3 or 4 color coded with blue header and cells highlighted in orange.</t>
  </si>
  <si>
    <t>4. Cut and paste respective data from Export Data file to Table 4 for Sketa22 NTC findings.</t>
  </si>
  <si>
    <t>2. Data only entered in Table 5 color coded with blue header and  cells highlighted in orange.</t>
  </si>
  <si>
    <t>3. Cut and paste respective data from Export Data file to Table 5</t>
  </si>
  <si>
    <t>1. Go to "Final Report" tab to view results.</t>
  </si>
  <si>
    <r>
      <t>All test reaction Cq values</t>
    </r>
    <r>
      <rPr>
        <u/>
        <sz val="10"/>
        <color theme="1"/>
        <rFont val="Calibri"/>
        <family val="2"/>
        <scheme val="minor"/>
      </rPr>
      <t xml:space="preserve"> &gt;</t>
    </r>
    <r>
      <rPr>
        <sz val="10"/>
        <color theme="1"/>
        <rFont val="Calibri"/>
        <family val="2"/>
        <scheme val="minor"/>
      </rPr>
      <t xml:space="preserve"> 35</t>
    </r>
  </si>
  <si>
    <r>
      <t xml:space="preserve">All test reaction Cq values ≤ </t>
    </r>
    <r>
      <rPr>
        <sz val="10"/>
        <color theme="1"/>
        <rFont val="Calibri"/>
        <family val="2"/>
        <scheme val="minor"/>
      </rPr>
      <t>LLOQ</t>
    </r>
  </si>
  <si>
    <t>All test reaction Cq values ≤ LLOQ</t>
  </si>
  <si>
    <r>
      <t>LLOQ in log</t>
    </r>
    <r>
      <rPr>
        <vertAlign val="subscript"/>
        <sz val="11"/>
        <color theme="1"/>
        <rFont val="Calibri"/>
        <family val="2"/>
        <scheme val="minor"/>
      </rPr>
      <t>10</t>
    </r>
    <r>
      <rPr>
        <sz val="11"/>
        <color theme="1"/>
        <rFont val="Calibri"/>
        <family val="2"/>
        <scheme val="minor"/>
      </rPr>
      <t xml:space="preserve"> copies/rxn</t>
    </r>
  </si>
  <si>
    <t>95% Prediction Limit Calculations</t>
  </si>
  <si>
    <t>Outlier Calculations</t>
  </si>
  <si>
    <t>Calibration Model Calculations</t>
  </si>
  <si>
    <t>HF183</t>
  </si>
  <si>
    <t>HumM2</t>
  </si>
  <si>
    <t>Final_FAM_Cq</t>
  </si>
  <si>
    <t>Final FAM quantification cycle used to make concentration estimate</t>
  </si>
  <si>
    <t>Final Cq</t>
  </si>
  <si>
    <t>D/ND cutoff</t>
  </si>
  <si>
    <t>D/ND</t>
  </si>
  <si>
    <t>Quantification cyle used to make concentration estimate</t>
  </si>
  <si>
    <t>* Indicates failure of one or more data acceptance metrics</t>
  </si>
  <si>
    <t>Entering HF183/BacR287 or HumM2 Standard, NTC, and MB Data:</t>
  </si>
  <si>
    <t>4. Cut and paste respective data from Export Data file to Table 2 for HF183/BacR287 or HumM2 MB findings.</t>
  </si>
  <si>
    <t>1. Go to "Sketa22_Data" tab to enter data for Sketa22 MB and NTC findings.</t>
  </si>
  <si>
    <t>3. Cut and paste respective data from Export Data file to Table 3 for Sketa22 MB findings.</t>
  </si>
  <si>
    <r>
      <t xml:space="preserve">TABLE 2: </t>
    </r>
    <r>
      <rPr>
        <sz val="14"/>
        <color theme="1"/>
        <rFont val="Arial"/>
        <family val="2"/>
      </rPr>
      <t xml:space="preserve"> Data Entry Table for HF183/BacR287 or HumM2 MB Results</t>
    </r>
  </si>
  <si>
    <t>MB_Criteria</t>
  </si>
  <si>
    <t>MB Pass/Fail</t>
  </si>
  <si>
    <t>MB</t>
  </si>
  <si>
    <r>
      <t xml:space="preserve">TABLE 3: </t>
    </r>
    <r>
      <rPr>
        <sz val="14"/>
        <color theme="1"/>
        <rFont val="Arial"/>
        <family val="2"/>
      </rPr>
      <t xml:space="preserve"> Data Entry Table for Sketa22 MB Results</t>
    </r>
  </si>
  <si>
    <t>Method blank</t>
  </si>
  <si>
    <t>Sketa22 MB mean quantification cycle</t>
  </si>
  <si>
    <t>Sample type (MB = method blank or NTC = no template control)</t>
  </si>
  <si>
    <t>5. Use drop-down menu found in the first row of the Assay column in Tables 1 and 2 to select human-associated fecal source identification qPCR method (HF183/BacR287 or HumM2).</t>
  </si>
  <si>
    <t>1. Go to "Samples_Data" tab to enter data for HF183/BacR287 or HumM2 and Sketa22 for water sample findings.</t>
  </si>
  <si>
    <t>Preparation of Export Data File:</t>
  </si>
  <si>
    <t>1. Export data spreadsheet formating will vary depending on amplifiation instrument, software version, and qPCR amplification plate well assignments.</t>
  </si>
  <si>
    <t>Entering Sketa22 MB and NTC Data:</t>
  </si>
  <si>
    <t>5. Use drop-down menu found in the first row of the Assay column in Table 5 to select human-associated fecal source identification qPCR method (HF183/BacR287 or HumM2).</t>
  </si>
  <si>
    <t>≥ 0.980</t>
  </si>
  <si>
    <t>2. Consult draft EPA Method 1696 or 1696 Section 12.0 for a complete description of data analysis procedures.</t>
  </si>
  <si>
    <t>Standard (Level 1)</t>
  </si>
  <si>
    <t>Standard (Level 2)</t>
  </si>
  <si>
    <r>
      <t>Log</t>
    </r>
    <r>
      <rPr>
        <b/>
        <vertAlign val="subscript"/>
        <sz val="11"/>
        <color theme="1"/>
        <rFont val="Calibri"/>
        <family val="2"/>
        <scheme val="minor"/>
      </rPr>
      <t>10</t>
    </r>
    <r>
      <rPr>
        <b/>
        <sz val="11"/>
        <color theme="1"/>
        <rFont val="Calibri"/>
        <family val="2"/>
        <scheme val="minor"/>
      </rPr>
      <t>_Copy</t>
    </r>
  </si>
  <si>
    <t>Level</t>
  </si>
  <si>
    <r>
      <t>Log</t>
    </r>
    <r>
      <rPr>
        <b/>
        <vertAlign val="subscript"/>
        <sz val="11"/>
        <color theme="1"/>
        <rFont val="Arial"/>
        <family val="2"/>
      </rPr>
      <t>10</t>
    </r>
    <r>
      <rPr>
        <b/>
        <sz val="11"/>
        <color theme="1"/>
        <rFont val="Arial"/>
        <family val="2"/>
      </rPr>
      <t>_Copy</t>
    </r>
  </si>
  <si>
    <r>
      <t>ROQ (log</t>
    </r>
    <r>
      <rPr>
        <vertAlign val="subscript"/>
        <sz val="11"/>
        <color theme="1"/>
        <rFont val="Calibri"/>
        <family val="2"/>
        <scheme val="minor"/>
      </rPr>
      <t>10</t>
    </r>
    <r>
      <rPr>
        <sz val="11"/>
        <color theme="1"/>
        <rFont val="Calibri"/>
        <family val="2"/>
        <scheme val="minor"/>
      </rPr>
      <t xml:space="preserve"> min &amp; max) </t>
    </r>
  </si>
  <si>
    <r>
      <t>IAC ROQ (log</t>
    </r>
    <r>
      <rPr>
        <vertAlign val="subscript"/>
        <sz val="11"/>
        <color theme="1"/>
        <rFont val="Calibri"/>
        <family val="2"/>
        <scheme val="minor"/>
      </rPr>
      <t>10</t>
    </r>
    <r>
      <rPr>
        <sz val="11"/>
        <color theme="1"/>
        <rFont val="Calibri"/>
        <family val="2"/>
        <scheme val="minor"/>
      </rPr>
      <t xml:space="preserve"> min &amp; max)</t>
    </r>
  </si>
  <si>
    <t>Standard (Level 3)</t>
  </si>
  <si>
    <t>Standard (Level 4)</t>
  </si>
  <si>
    <t>Standard (Level 5)</t>
  </si>
  <si>
    <t>Indicates standard concentration (Level 1= lowest; Level 5 = highest)</t>
  </si>
  <si>
    <r>
      <t>Standard concentration corresponding log</t>
    </r>
    <r>
      <rPr>
        <vertAlign val="subscript"/>
        <sz val="11"/>
        <color theme="1"/>
        <rFont val="Arial"/>
        <family val="2"/>
      </rPr>
      <t xml:space="preserve">10 </t>
    </r>
    <r>
      <rPr>
        <sz val="11"/>
        <color theme="1"/>
        <rFont val="Arial"/>
        <family val="2"/>
      </rPr>
      <t>value</t>
    </r>
  </si>
  <si>
    <t>1. In the "Standards_Data" tab, enter standard concentrations from lowest concentration (Level 1) to highest (Level 5).  For example, if lowest standard concentration is 10 copies, type "10".</t>
  </si>
  <si>
    <t>Note: Refer to draft EPA Method 1696.1 or 1697.1 for recommended well assignments for best compatibility with automated data analysis tool</t>
  </si>
  <si>
    <t>Office of Water (4303T)
Washington, DC 20460
January 2022</t>
  </si>
  <si>
    <t>Automated Draft EPA Methods 1696.1 and 1697.2 Data Analysis Tool</t>
  </si>
  <si>
    <t>The following tool was designed to automate the analysis of data generated from a single instrument run using draft EPA Method 1696.1 and 1697.2.  Upon completion of data entry, the Excel macro will automatically perform all calculations for method proficiency, quality assurance and estimation of human-associated genetic marker concentration in test samples.  A summary of findings is located in the “Final Report”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</si>
</sst>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00"/>
  </numFmts>
  <fonts count="41" x14ac:knownFonts="1">
    <font>
      <sz val="11"/>
      <color theme="1"/>
      <name val="Calibri"/>
      <family val="2"/>
      <scheme val="minor"/>
    </font>
    <font>
      <b/>
      <sz val="11"/>
      <color theme="1"/>
      <name val="Calibri"/>
      <family val="2"/>
      <scheme val="minor"/>
    </font>
    <font>
      <sz val="10"/>
      <name val="Arial"/>
      <family val="2"/>
    </font>
    <font>
      <b/>
      <sz val="10"/>
      <name val="Arial"/>
      <family val="2"/>
    </font>
    <font>
      <sz val="11"/>
      <color rgb="FF000000"/>
      <name val="Arial"/>
      <family val="2"/>
    </font>
    <font>
      <sz val="11"/>
      <name val="Calibri"/>
      <family val="2"/>
      <scheme val="minor"/>
    </font>
    <font>
      <sz val="11"/>
      <color theme="1"/>
      <name val="Arial"/>
      <family val="2"/>
    </font>
    <font>
      <sz val="11"/>
      <color rgb="FF0070C0"/>
      <name val="Calibri"/>
      <family val="2"/>
      <scheme val="minor"/>
    </font>
    <font>
      <b/>
      <sz val="11"/>
      <color theme="1"/>
      <name val="Calibri"/>
      <family val="2"/>
    </font>
    <font>
      <i/>
      <sz val="11"/>
      <color theme="1"/>
      <name val="Calibri"/>
      <family val="2"/>
      <scheme val="minor"/>
    </font>
    <font>
      <b/>
      <sz val="6"/>
      <color theme="1"/>
      <name val="Arial"/>
      <family val="2"/>
    </font>
    <font>
      <sz val="11"/>
      <color rgb="FF3F3F76"/>
      <name val="Calibri"/>
      <family val="2"/>
      <scheme val="minor"/>
    </font>
    <font>
      <sz val="12"/>
      <color theme="1"/>
      <name val="Calibri"/>
      <family val="2"/>
      <scheme val="minor"/>
    </font>
    <font>
      <vertAlign val="superscript"/>
      <sz val="11"/>
      <color theme="1"/>
      <name val="Calibri"/>
      <family val="2"/>
      <scheme val="minor"/>
    </font>
    <font>
      <sz val="10"/>
      <color theme="1"/>
      <name val="Calibri"/>
      <family val="2"/>
    </font>
    <font>
      <sz val="10"/>
      <color theme="1"/>
      <name val="Calibri"/>
      <family val="2"/>
      <scheme val="minor"/>
    </font>
    <font>
      <sz val="10"/>
      <color rgb="FF000000"/>
      <name val="Arial"/>
      <family val="2"/>
    </font>
    <font>
      <sz val="10"/>
      <color theme="1"/>
      <name val="Arial"/>
      <family val="2"/>
    </font>
    <font>
      <sz val="10"/>
      <color rgb="FF3F3F76"/>
      <name val="Arial"/>
      <family val="2"/>
    </font>
    <font>
      <b/>
      <sz val="11"/>
      <name val="Calibri"/>
      <family val="2"/>
      <scheme val="minor"/>
    </font>
    <font>
      <i/>
      <sz val="10"/>
      <name val="Arial"/>
      <family val="2"/>
    </font>
    <font>
      <b/>
      <sz val="14"/>
      <color theme="1"/>
      <name val="Calibri"/>
      <family val="2"/>
      <scheme val="minor"/>
    </font>
    <font>
      <b/>
      <sz val="8"/>
      <color theme="1"/>
      <name val="Calibri"/>
      <family val="2"/>
      <scheme val="minor"/>
    </font>
    <font>
      <b/>
      <vertAlign val="subscript"/>
      <sz val="11"/>
      <color theme="1"/>
      <name val="Calibri"/>
      <family val="2"/>
      <scheme val="minor"/>
    </font>
    <font>
      <b/>
      <u/>
      <sz val="14"/>
      <color theme="1"/>
      <name val="Calibri"/>
      <family val="2"/>
      <scheme val="minor"/>
    </font>
    <font>
      <sz val="14"/>
      <color theme="1"/>
      <name val="Calibri"/>
      <family val="2"/>
      <scheme val="minor"/>
    </font>
    <font>
      <b/>
      <sz val="18"/>
      <color theme="1"/>
      <name val="Calibri"/>
      <family val="2"/>
      <scheme val="minor"/>
    </font>
    <font>
      <b/>
      <sz val="11"/>
      <color theme="1"/>
      <name val="Arial"/>
      <family val="2"/>
    </font>
    <font>
      <b/>
      <vertAlign val="superscript"/>
      <sz val="11"/>
      <color theme="1"/>
      <name val="Arial"/>
      <family val="2"/>
    </font>
    <font>
      <b/>
      <i/>
      <sz val="11"/>
      <color theme="1"/>
      <name val="Arial"/>
      <family val="2"/>
    </font>
    <font>
      <b/>
      <sz val="11"/>
      <name val="Arial"/>
      <family val="2"/>
    </font>
    <font>
      <b/>
      <sz val="14"/>
      <color theme="1"/>
      <name val="Arial"/>
      <family val="2"/>
    </font>
    <font>
      <sz val="14"/>
      <color theme="1"/>
      <name val="Arial"/>
      <family val="2"/>
    </font>
    <font>
      <b/>
      <sz val="24"/>
      <color theme="1"/>
      <name val="Calibri"/>
      <family val="2"/>
      <scheme val="minor"/>
    </font>
    <font>
      <u/>
      <sz val="10"/>
      <color theme="1"/>
      <name val="Calibri"/>
      <family val="2"/>
      <scheme val="minor"/>
    </font>
    <font>
      <vertAlign val="subscript"/>
      <sz val="11"/>
      <color theme="1"/>
      <name val="Calibri"/>
      <family val="2"/>
      <scheme val="minor"/>
    </font>
    <font>
      <b/>
      <sz val="12"/>
      <color theme="1"/>
      <name val="Calibri"/>
      <family val="2"/>
      <scheme val="minor"/>
    </font>
    <font>
      <b/>
      <sz val="12"/>
      <name val="Calibri"/>
      <family val="2"/>
      <scheme val="minor"/>
    </font>
    <font>
      <b/>
      <vertAlign val="subscript"/>
      <sz val="11"/>
      <color theme="1"/>
      <name val="Arial"/>
      <family val="2"/>
    </font>
    <font>
      <vertAlign val="subscript"/>
      <sz val="11"/>
      <color theme="1"/>
      <name val="Arial"/>
      <family val="2"/>
    </font>
    <font>
      <b/>
      <sz val="9"/>
      <color theme="1"/>
      <name val="Arial"/>
      <family val="2"/>
    </font>
  </fonts>
  <fills count="6">
    <fill>
      <patternFill patternType="none"/>
    </fill>
    <fill>
      <patternFill patternType="gray125"/>
    </fill>
    <fill>
      <patternFill patternType="solid">
        <fgColor theme="0"/>
        <bgColor indexed="64"/>
      </patternFill>
    </fill>
    <fill>
      <patternFill patternType="solid">
        <fgColor rgb="FFFFCC99"/>
      </patternFill>
    </fill>
    <fill>
      <patternFill patternType="solid">
        <fgColor theme="4" tint="0.39997558519241921"/>
        <bgColor indexed="64"/>
      </patternFill>
    </fill>
    <fill>
      <patternFill patternType="solid">
        <fgColor rgb="FFFFCC99"/>
        <bgColor rgb="FF000000"/>
      </patternFill>
    </fill>
  </fills>
  <borders count="26">
    <border>
      <left/>
      <right/>
      <top/>
      <bottom/>
      <diagonal/>
    </border>
    <border>
      <left style="thin">
        <color auto="1"/>
      </left>
      <right style="thin">
        <color auto="1"/>
      </right>
      <top style="thin">
        <color auto="1"/>
      </top>
      <bottom style="thin">
        <color auto="1"/>
      </bottom>
      <diagonal/>
    </border>
    <border>
      <left/>
      <right/>
      <top style="thin">
        <color indexed="64"/>
      </top>
      <bottom/>
      <diagonal/>
    </border>
    <border>
      <left style="thin">
        <color auto="1"/>
      </left>
      <right style="thin">
        <color auto="1"/>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top/>
      <bottom style="medium">
        <color indexed="64"/>
      </bottom>
      <diagonal/>
    </border>
    <border>
      <left/>
      <right style="thin">
        <color rgb="FF7F7F7F"/>
      </right>
      <top/>
      <bottom style="thin">
        <color rgb="FF7F7F7F"/>
      </bottom>
      <diagonal/>
    </border>
    <border>
      <left/>
      <right style="thin">
        <color rgb="FF7F7F7F"/>
      </right>
      <top style="thin">
        <color rgb="FF7F7F7F"/>
      </top>
      <bottom style="medium">
        <color indexed="64"/>
      </bottom>
      <diagonal/>
    </border>
    <border>
      <left/>
      <right style="thin">
        <color rgb="FF7F7F7F"/>
      </right>
      <top/>
      <bottom style="medium">
        <color indexed="64"/>
      </bottom>
      <diagonal/>
    </border>
    <border>
      <left/>
      <right style="thin">
        <color indexed="64"/>
      </right>
      <top style="thin">
        <color indexed="64"/>
      </top>
      <bottom style="thin">
        <color indexed="64"/>
      </bottom>
      <diagonal/>
    </border>
    <border>
      <left style="thin">
        <color indexed="64"/>
      </left>
      <right style="hair">
        <color auto="1"/>
      </right>
      <top style="thin">
        <color indexed="64"/>
      </top>
      <bottom/>
      <diagonal/>
    </border>
    <border>
      <left style="hair">
        <color auto="1"/>
      </left>
      <right style="hair">
        <color auto="1"/>
      </right>
      <top style="thin">
        <color indexed="64"/>
      </top>
      <bottom/>
      <diagonal/>
    </border>
    <border>
      <left style="hair">
        <color auto="1"/>
      </left>
      <right style="hair">
        <color auto="1"/>
      </right>
      <top style="hair">
        <color auto="1"/>
      </top>
      <bottom/>
      <diagonal/>
    </border>
    <border>
      <left style="hair">
        <color auto="1"/>
      </left>
      <right/>
      <top style="hair">
        <color auto="1"/>
      </top>
      <bottom/>
      <diagonal/>
    </border>
    <border>
      <left style="hair">
        <color auto="1"/>
      </left>
      <right style="hair">
        <color auto="1"/>
      </right>
      <top/>
      <bottom/>
      <diagonal/>
    </border>
    <border>
      <left style="hair">
        <color auto="1"/>
      </left>
      <right style="thin">
        <color indexed="64"/>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2" fillId="0" borderId="0"/>
    <xf numFmtId="0" fontId="11" fillId="3" borderId="4" applyNumberFormat="0" applyAlignment="0" applyProtection="0"/>
    <xf numFmtId="0" fontId="2" fillId="0" borderId="0"/>
  </cellStyleXfs>
  <cellXfs count="234">
    <xf numFmtId="0" fontId="0" fillId="0" borderId="0" xfId="0"/>
    <xf numFmtId="0" fontId="0" fillId="0" borderId="0" xfId="0" applyAlignment="1">
      <alignment horizontal="right"/>
    </xf>
    <xf numFmtId="0" fontId="0" fillId="0" borderId="0" xfId="0"/>
    <xf numFmtId="0" fontId="6" fillId="0" borderId="0" xfId="0" applyFont="1"/>
    <xf numFmtId="0" fontId="18" fillId="3" borderId="4" xfId="2" applyFont="1" applyAlignment="1" applyProtection="1">
      <alignment horizontal="center" vertical="top"/>
      <protection locked="0"/>
    </xf>
    <xf numFmtId="0" fontId="18" fillId="3" borderId="4" xfId="2" applyFont="1" applyAlignment="1" applyProtection="1">
      <alignment horizontal="center"/>
      <protection locked="0"/>
    </xf>
    <xf numFmtId="2" fontId="1" fillId="0" borderId="6" xfId="0" applyNumberFormat="1" applyFont="1" applyBorder="1" applyAlignment="1" applyProtection="1">
      <alignment horizontal="center" vertical="center"/>
    </xf>
    <xf numFmtId="2" fontId="1" fillId="0" borderId="0" xfId="0" applyNumberFormat="1" applyFont="1" applyBorder="1" applyAlignment="1" applyProtection="1">
      <alignment horizontal="center" vertical="center"/>
    </xf>
    <xf numFmtId="0" fontId="0" fillId="0" borderId="0" xfId="0" applyProtection="1"/>
    <xf numFmtId="0" fontId="1" fillId="0" borderId="0" xfId="0" applyFont="1" applyAlignment="1" applyProtection="1">
      <alignment horizontal="center"/>
    </xf>
    <xf numFmtId="0" fontId="16" fillId="0" borderId="3" xfId="0" applyFont="1" applyBorder="1" applyAlignment="1" applyProtection="1">
      <alignment horizontal="center" vertical="top" wrapText="1"/>
    </xf>
    <xf numFmtId="0" fontId="16" fillId="0" borderId="0" xfId="0" applyFont="1" applyBorder="1" applyAlignment="1" applyProtection="1">
      <alignment horizontal="center" vertical="top" wrapText="1"/>
    </xf>
    <xf numFmtId="0" fontId="3" fillId="0" borderId="0" xfId="1" applyFont="1" applyAlignment="1" applyProtection="1">
      <alignment horizontal="center"/>
    </xf>
    <xf numFmtId="0" fontId="1" fillId="0" borderId="0" xfId="0" applyFont="1" applyProtection="1"/>
    <xf numFmtId="0" fontId="1" fillId="0" borderId="0" xfId="0" applyFont="1" applyBorder="1" applyProtection="1"/>
    <xf numFmtId="0" fontId="1" fillId="0" borderId="0" xfId="0" applyFont="1" applyFill="1" applyBorder="1" applyProtection="1"/>
    <xf numFmtId="0" fontId="0" fillId="0" borderId="1" xfId="0" applyFont="1" applyFill="1" applyBorder="1" applyAlignment="1" applyProtection="1">
      <alignment horizontal="right"/>
    </xf>
    <xf numFmtId="2" fontId="17" fillId="0" borderId="1" xfId="0" applyNumberFormat="1" applyFont="1" applyBorder="1" applyAlignment="1" applyProtection="1">
      <alignment horizontal="center"/>
    </xf>
    <xf numFmtId="0" fontId="17" fillId="0" borderId="1" xfId="0" applyFont="1" applyBorder="1" applyAlignment="1" applyProtection="1">
      <alignment horizontal="center"/>
    </xf>
    <xf numFmtId="0" fontId="0" fillId="0" borderId="1" xfId="0" applyFont="1" applyBorder="1" applyAlignment="1" applyProtection="1">
      <alignment horizontal="right"/>
    </xf>
    <xf numFmtId="0" fontId="5" fillId="0" borderId="1" xfId="1" applyFont="1" applyFill="1" applyBorder="1" applyAlignment="1" applyProtection="1">
      <alignment horizontal="right"/>
    </xf>
    <xf numFmtId="0" fontId="1" fillId="0" borderId="0" xfId="0" applyFont="1" applyBorder="1" applyAlignment="1" applyProtection="1">
      <alignment horizontal="center"/>
    </xf>
    <xf numFmtId="0" fontId="1" fillId="0" borderId="0" xfId="0" applyFont="1" applyFill="1" applyBorder="1" applyAlignment="1" applyProtection="1">
      <alignment horizontal="center"/>
    </xf>
    <xf numFmtId="2" fontId="17" fillId="0" borderId="0" xfId="0" applyNumberFormat="1" applyFont="1" applyAlignment="1" applyProtection="1">
      <alignment horizontal="center" vertical="top"/>
    </xf>
    <xf numFmtId="2" fontId="17" fillId="0" borderId="1" xfId="0" applyNumberFormat="1" applyFont="1" applyFill="1" applyBorder="1" applyAlignment="1" applyProtection="1">
      <alignment horizontal="center"/>
    </xf>
    <xf numFmtId="0" fontId="17" fillId="0" borderId="0" xfId="0" applyFont="1" applyProtection="1"/>
    <xf numFmtId="0" fontId="17" fillId="0" borderId="1" xfId="0" applyFont="1" applyFill="1" applyBorder="1" applyAlignment="1" applyProtection="1">
      <alignment horizontal="center"/>
    </xf>
    <xf numFmtId="0" fontId="9" fillId="0" borderId="1" xfId="0" applyFont="1" applyFill="1" applyBorder="1" applyAlignment="1" applyProtection="1">
      <alignment horizontal="right"/>
    </xf>
    <xf numFmtId="0" fontId="5" fillId="0" borderId="1" xfId="1" applyFont="1" applyBorder="1" applyAlignment="1" applyProtection="1">
      <alignment horizontal="right"/>
    </xf>
    <xf numFmtId="2" fontId="2" fillId="0" borderId="1" xfId="1" applyNumberFormat="1" applyFont="1" applyBorder="1" applyAlignment="1" applyProtection="1">
      <alignment horizontal="center"/>
    </xf>
    <xf numFmtId="0" fontId="24" fillId="0" borderId="0" xfId="0" applyFont="1" applyProtection="1"/>
    <xf numFmtId="0" fontId="27" fillId="0" borderId="0" xfId="0" applyFont="1" applyAlignment="1" applyProtection="1">
      <alignment horizontal="right"/>
    </xf>
    <xf numFmtId="0" fontId="6" fillId="0" borderId="0" xfId="0" applyFont="1" applyProtection="1"/>
    <xf numFmtId="0" fontId="29" fillId="0" borderId="0" xfId="0" applyFont="1" applyAlignment="1" applyProtection="1">
      <alignment horizontal="right"/>
    </xf>
    <xf numFmtId="0" fontId="17" fillId="0" borderId="0" xfId="0" applyFont="1" applyAlignment="1" applyProtection="1">
      <alignment horizontal="center"/>
    </xf>
    <xf numFmtId="2" fontId="19" fillId="0" borderId="1" xfId="1" applyNumberFormat="1" applyFont="1" applyFill="1" applyBorder="1" applyAlignment="1" applyProtection="1">
      <alignment horizontal="center"/>
    </xf>
    <xf numFmtId="0" fontId="2" fillId="0" borderId="0" xfId="1" applyAlignment="1" applyProtection="1">
      <alignment horizontal="center"/>
    </xf>
    <xf numFmtId="0" fontId="2" fillId="0" borderId="1" xfId="1" applyFont="1" applyBorder="1" applyProtection="1"/>
    <xf numFmtId="2" fontId="2" fillId="0" borderId="1" xfId="1" applyNumberFormat="1" applyBorder="1" applyAlignment="1" applyProtection="1">
      <alignment horizontal="center"/>
    </xf>
    <xf numFmtId="0" fontId="2" fillId="0" borderId="0" xfId="1" applyProtection="1"/>
    <xf numFmtId="165" fontId="2" fillId="0" borderId="0" xfId="1" applyNumberFormat="1" applyAlignment="1" applyProtection="1">
      <alignment horizontal="center"/>
    </xf>
    <xf numFmtId="1" fontId="2" fillId="0" borderId="0" xfId="1" applyNumberFormat="1" applyAlignment="1" applyProtection="1">
      <alignment horizontal="center"/>
    </xf>
    <xf numFmtId="165" fontId="2" fillId="0" borderId="0" xfId="1" applyNumberFormat="1" applyFill="1" applyAlignment="1" applyProtection="1">
      <alignment horizontal="center"/>
    </xf>
    <xf numFmtId="0" fontId="17" fillId="0" borderId="1" xfId="0" applyFont="1" applyBorder="1" applyProtection="1"/>
    <xf numFmtId="1" fontId="1" fillId="0" borderId="0" xfId="0" applyNumberFormat="1" applyFont="1" applyBorder="1" applyAlignment="1" applyProtection="1">
      <alignment horizontal="center"/>
    </xf>
    <xf numFmtId="0" fontId="1" fillId="0" borderId="0" xfId="0" applyFont="1" applyFill="1" applyBorder="1" applyAlignment="1" applyProtection="1">
      <alignment horizontal="center" vertical="center"/>
    </xf>
    <xf numFmtId="0" fontId="1" fillId="0" borderId="0" xfId="0" applyFont="1" applyAlignment="1" applyProtection="1">
      <alignment horizontal="center" vertical="center"/>
    </xf>
    <xf numFmtId="2" fontId="1" fillId="0" borderId="0" xfId="0" applyNumberFormat="1" applyFont="1" applyAlignment="1" applyProtection="1">
      <alignment horizontal="center" vertical="center"/>
    </xf>
    <xf numFmtId="0" fontId="1" fillId="0" borderId="0" xfId="0" applyFont="1" applyFill="1" applyAlignment="1" applyProtection="1">
      <alignment horizontal="center" vertical="center"/>
    </xf>
    <xf numFmtId="0" fontId="1" fillId="0" borderId="0" xfId="0" applyFont="1" applyFill="1" applyAlignment="1" applyProtection="1">
      <alignment horizontal="left" vertical="center"/>
    </xf>
    <xf numFmtId="0" fontId="0" fillId="0" borderId="0" xfId="0" applyAlignment="1" applyProtection="1">
      <alignment horizontal="right"/>
    </xf>
    <xf numFmtId="0" fontId="0" fillId="0" borderId="0" xfId="0" applyAlignment="1" applyProtection="1">
      <alignment horizontal="center"/>
    </xf>
    <xf numFmtId="0" fontId="0" fillId="0" borderId="0" xfId="0" applyFill="1" applyProtection="1"/>
    <xf numFmtId="0" fontId="0" fillId="0" borderId="0" xfId="0" applyFont="1" applyAlignment="1" applyProtection="1">
      <alignment horizontal="right"/>
    </xf>
    <xf numFmtId="0" fontId="17" fillId="0" borderId="0" xfId="0" applyFont="1" applyBorder="1" applyAlignment="1" applyProtection="1">
      <alignment horizontal="center"/>
    </xf>
    <xf numFmtId="1" fontId="17" fillId="0" borderId="0" xfId="0" applyNumberFormat="1" applyFont="1" applyBorder="1" applyAlignment="1" applyProtection="1">
      <alignment horizontal="center"/>
    </xf>
    <xf numFmtId="0" fontId="17" fillId="0" borderId="0" xfId="0" applyFont="1" applyFill="1" applyBorder="1" applyAlignment="1" applyProtection="1">
      <alignment horizontal="center"/>
    </xf>
    <xf numFmtId="2" fontId="17" fillId="0" borderId="0" xfId="0" applyNumberFormat="1" applyFont="1" applyBorder="1" applyAlignment="1" applyProtection="1">
      <alignment horizontal="center"/>
    </xf>
    <xf numFmtId="0" fontId="0" fillId="0" borderId="0" xfId="0" applyFill="1" applyAlignment="1" applyProtection="1">
      <alignment horizontal="left"/>
    </xf>
    <xf numFmtId="0" fontId="20" fillId="0" borderId="0" xfId="1" applyFont="1" applyAlignment="1" applyProtection="1">
      <alignment horizontal="center"/>
    </xf>
    <xf numFmtId="0" fontId="0" fillId="0" borderId="0" xfId="0" applyFont="1" applyAlignment="1" applyProtection="1">
      <alignment horizontal="right" vertical="center"/>
    </xf>
    <xf numFmtId="2" fontId="0" fillId="0" borderId="0" xfId="0" applyNumberFormat="1" applyAlignment="1" applyProtection="1">
      <alignment horizontal="center"/>
    </xf>
    <xf numFmtId="0" fontId="2" fillId="0" borderId="0" xfId="1" applyAlignment="1" applyProtection="1">
      <alignment horizontal="right"/>
    </xf>
    <xf numFmtId="0" fontId="2" fillId="0" borderId="0" xfId="1" applyFill="1" applyAlignment="1" applyProtection="1">
      <alignment horizontal="center"/>
    </xf>
    <xf numFmtId="164" fontId="0" fillId="0" borderId="0" xfId="0" applyNumberFormat="1" applyAlignment="1" applyProtection="1">
      <alignment horizontal="center"/>
    </xf>
    <xf numFmtId="0" fontId="2" fillId="0" borderId="0" xfId="1" applyFont="1" applyAlignment="1" applyProtection="1">
      <alignment horizontal="right"/>
    </xf>
    <xf numFmtId="2" fontId="2" fillId="0" borderId="0" xfId="1" applyNumberFormat="1" applyFont="1" applyAlignment="1" applyProtection="1">
      <alignment horizontal="center"/>
    </xf>
    <xf numFmtId="1" fontId="2" fillId="0" borderId="0" xfId="1" applyNumberFormat="1" applyFont="1" applyAlignment="1" applyProtection="1">
      <alignment horizontal="center"/>
    </xf>
    <xf numFmtId="2" fontId="2" fillId="0" borderId="0" xfId="1" applyNumberFormat="1" applyFont="1" applyFill="1" applyAlignment="1" applyProtection="1">
      <alignment horizontal="center"/>
    </xf>
    <xf numFmtId="0" fontId="2" fillId="0" borderId="0" xfId="1" applyFont="1" applyAlignment="1" applyProtection="1">
      <alignment horizontal="center"/>
    </xf>
    <xf numFmtId="0" fontId="2" fillId="0" borderId="0" xfId="0" applyFont="1" applyAlignment="1" applyProtection="1">
      <alignment horizontal="center"/>
    </xf>
    <xf numFmtId="2" fontId="0" fillId="0" borderId="0" xfId="0" applyNumberFormat="1" applyAlignment="1" applyProtection="1">
      <alignment horizontal="left"/>
    </xf>
    <xf numFmtId="1" fontId="0" fillId="0" borderId="0" xfId="0" applyNumberFormat="1" applyProtection="1"/>
    <xf numFmtId="0" fontId="0" fillId="0" borderId="0" xfId="0" applyAlignment="1" applyProtection="1">
      <alignment horizontal="left"/>
    </xf>
    <xf numFmtId="2" fontId="22" fillId="0" borderId="1" xfId="0" applyNumberFormat="1" applyFont="1" applyBorder="1" applyAlignment="1" applyProtection="1">
      <alignment horizontal="center"/>
    </xf>
    <xf numFmtId="49" fontId="22" fillId="0" borderId="1" xfId="0" applyNumberFormat="1" applyFont="1" applyBorder="1" applyAlignment="1" applyProtection="1">
      <alignment horizontal="center"/>
    </xf>
    <xf numFmtId="0" fontId="22" fillId="0" borderId="1" xfId="0" applyFont="1" applyBorder="1" applyAlignment="1" applyProtection="1">
      <alignment horizontal="center"/>
    </xf>
    <xf numFmtId="0" fontId="22" fillId="0" borderId="1" xfId="0" applyFont="1" applyFill="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0" fontId="0" fillId="0" borderId="1" xfId="0" applyFill="1" applyBorder="1" applyAlignment="1" applyProtection="1">
      <alignment horizontal="center"/>
    </xf>
    <xf numFmtId="0" fontId="25" fillId="0" borderId="0" xfId="0" applyFont="1" applyProtection="1"/>
    <xf numFmtId="0" fontId="0" fillId="0" borderId="1" xfId="0" applyBorder="1" applyAlignment="1" applyProtection="1">
      <alignment horizontal="right"/>
    </xf>
    <xf numFmtId="0" fontId="9" fillId="0" borderId="1" xfId="0" applyFont="1" applyBorder="1" applyAlignment="1" applyProtection="1">
      <alignment horizontal="right"/>
    </xf>
    <xf numFmtId="0" fontId="0" fillId="0" borderId="6" xfId="0" applyBorder="1" applyAlignment="1" applyProtection="1">
      <alignment horizontal="center"/>
    </xf>
    <xf numFmtId="0" fontId="0" fillId="0" borderId="1" xfId="0" applyBorder="1" applyAlignment="1" applyProtection="1">
      <alignment horizontal="center"/>
    </xf>
    <xf numFmtId="0" fontId="1" fillId="0" borderId="1" xfId="0" applyFont="1" applyBorder="1" applyAlignment="1" applyProtection="1">
      <alignment horizontal="center"/>
    </xf>
    <xf numFmtId="0" fontId="0" fillId="0" borderId="1" xfId="0" applyFont="1" applyBorder="1" applyAlignment="1" applyProtection="1">
      <alignment horizontal="center" wrapText="1"/>
    </xf>
    <xf numFmtId="0" fontId="0" fillId="0" borderId="1" xfId="0" applyBorder="1" applyAlignment="1" applyProtection="1">
      <alignment horizontal="center" wrapText="1"/>
    </xf>
    <xf numFmtId="0" fontId="14" fillId="0" borderId="1" xfId="0" applyFont="1" applyBorder="1" applyAlignment="1" applyProtection="1">
      <alignment wrapText="1"/>
    </xf>
    <xf numFmtId="2" fontId="0" fillId="0" borderId="1" xfId="0" applyNumberFormat="1" applyBorder="1" applyAlignment="1" applyProtection="1">
      <alignment horizontal="center" wrapText="1"/>
    </xf>
    <xf numFmtId="0" fontId="15" fillId="0" borderId="1" xfId="0" applyFont="1" applyBorder="1" applyAlignment="1" applyProtection="1">
      <alignment wrapText="1"/>
    </xf>
    <xf numFmtId="0" fontId="0" fillId="0" borderId="1" xfId="0" applyBorder="1" applyProtection="1"/>
    <xf numFmtId="0" fontId="12" fillId="0" borderId="0" xfId="0" applyFont="1" applyProtection="1"/>
    <xf numFmtId="0" fontId="1" fillId="0" borderId="1" xfId="0" applyFont="1" applyFill="1" applyBorder="1" applyAlignment="1" applyProtection="1">
      <alignment horizontal="center"/>
    </xf>
    <xf numFmtId="0" fontId="1" fillId="4" borderId="0" xfId="0" applyFont="1" applyFill="1" applyAlignment="1" applyProtection="1">
      <alignment horizontal="center" vertical="top"/>
    </xf>
    <xf numFmtId="0" fontId="18" fillId="2" borderId="4" xfId="2" applyFont="1" applyFill="1" applyAlignment="1" applyProtection="1">
      <alignment horizontal="center" vertical="top"/>
    </xf>
    <xf numFmtId="0" fontId="1" fillId="4" borderId="0" xfId="0" applyFont="1" applyFill="1" applyAlignment="1" applyProtection="1">
      <alignment horizontal="center"/>
    </xf>
    <xf numFmtId="0" fontId="18" fillId="2" borderId="4" xfId="2" applyFont="1" applyFill="1" applyAlignment="1" applyProtection="1">
      <alignment horizontal="center"/>
    </xf>
    <xf numFmtId="0" fontId="17" fillId="0" borderId="0" xfId="0" applyFont="1" applyAlignment="1" applyProtection="1">
      <alignment horizontal="center" vertical="top"/>
    </xf>
    <xf numFmtId="0" fontId="21" fillId="0" borderId="0" xfId="0" applyFont="1"/>
    <xf numFmtId="0" fontId="18" fillId="2" borderId="10" xfId="2" applyFont="1" applyFill="1" applyBorder="1" applyAlignment="1" applyProtection="1">
      <alignment horizontal="center" vertical="top"/>
    </xf>
    <xf numFmtId="0" fontId="18" fillId="3" borderId="10" xfId="2" applyFont="1" applyBorder="1" applyAlignment="1" applyProtection="1">
      <alignment horizontal="center"/>
      <protection locked="0"/>
    </xf>
    <xf numFmtId="0" fontId="18" fillId="2" borderId="10" xfId="2" applyFont="1" applyFill="1" applyBorder="1" applyAlignment="1" applyProtection="1">
      <alignment horizontal="center"/>
    </xf>
    <xf numFmtId="0" fontId="17" fillId="0" borderId="7" xfId="0" applyFont="1" applyBorder="1" applyAlignment="1" applyProtection="1">
      <alignment horizontal="center"/>
    </xf>
    <xf numFmtId="0" fontId="18" fillId="2" borderId="9" xfId="2" applyFont="1" applyFill="1" applyBorder="1" applyAlignment="1" applyProtection="1">
      <alignment horizontal="center" vertical="top"/>
    </xf>
    <xf numFmtId="0" fontId="18" fillId="3" borderId="9" xfId="2" applyFont="1" applyBorder="1" applyAlignment="1" applyProtection="1">
      <alignment horizontal="center"/>
      <protection locked="0"/>
    </xf>
    <xf numFmtId="0" fontId="18" fillId="2" borderId="9" xfId="2" applyFont="1" applyFill="1" applyBorder="1" applyAlignment="1" applyProtection="1">
      <alignment horizontal="center"/>
    </xf>
    <xf numFmtId="0" fontId="17" fillId="0" borderId="12" xfId="0" applyFont="1" applyBorder="1" applyAlignment="1" applyProtection="1">
      <alignment horizontal="center" vertical="top"/>
    </xf>
    <xf numFmtId="0" fontId="17" fillId="0" borderId="12" xfId="0" applyFont="1" applyBorder="1" applyAlignment="1" applyProtection="1">
      <alignment horizontal="center"/>
    </xf>
    <xf numFmtId="1" fontId="17" fillId="0" borderId="12" xfId="0" applyNumberFormat="1" applyFont="1" applyBorder="1" applyAlignment="1" applyProtection="1">
      <alignment horizontal="center"/>
    </xf>
    <xf numFmtId="2" fontId="17" fillId="0" borderId="12" xfId="0" applyNumberFormat="1" applyFont="1" applyBorder="1" applyAlignment="1" applyProtection="1">
      <alignment horizontal="center"/>
    </xf>
    <xf numFmtId="0" fontId="0" fillId="0" borderId="12" xfId="0" applyFill="1" applyBorder="1" applyAlignment="1" applyProtection="1">
      <alignment horizontal="left"/>
    </xf>
    <xf numFmtId="0" fontId="0" fillId="0" borderId="12" xfId="0" applyBorder="1" applyAlignment="1" applyProtection="1">
      <alignment horizontal="right"/>
    </xf>
    <xf numFmtId="0" fontId="0" fillId="0" borderId="12" xfId="0" applyBorder="1" applyAlignment="1" applyProtection="1">
      <alignment horizontal="center"/>
    </xf>
    <xf numFmtId="0" fontId="0" fillId="0" borderId="12" xfId="0" applyFill="1" applyBorder="1" applyProtection="1"/>
    <xf numFmtId="0" fontId="0" fillId="0" borderId="12" xfId="0" applyFont="1" applyBorder="1" applyAlignment="1" applyProtection="1">
      <alignment horizontal="right"/>
    </xf>
    <xf numFmtId="2" fontId="0" fillId="0" borderId="12" xfId="0" applyNumberFormat="1" applyBorder="1" applyAlignment="1" applyProtection="1">
      <alignment horizontal="center"/>
    </xf>
    <xf numFmtId="0" fontId="2" fillId="0" borderId="12" xfId="0" applyFont="1" applyBorder="1" applyAlignment="1" applyProtection="1">
      <alignment horizontal="center"/>
    </xf>
    <xf numFmtId="165" fontId="0" fillId="0" borderId="1" xfId="0" applyNumberFormat="1" applyBorder="1" applyAlignment="1" applyProtection="1">
      <alignment horizontal="center"/>
    </xf>
    <xf numFmtId="165" fontId="1" fillId="0" borderId="0" xfId="0" applyNumberFormat="1" applyFont="1" applyBorder="1" applyAlignment="1" applyProtection="1">
      <alignment horizontal="center" vertical="center"/>
    </xf>
    <xf numFmtId="165" fontId="17" fillId="0" borderId="1" xfId="0" applyNumberFormat="1" applyFont="1" applyBorder="1" applyAlignment="1" applyProtection="1">
      <alignment horizontal="center"/>
    </xf>
    <xf numFmtId="165" fontId="17" fillId="0" borderId="0" xfId="0" applyNumberFormat="1" applyFont="1" applyBorder="1" applyAlignment="1" applyProtection="1">
      <alignment horizontal="center"/>
    </xf>
    <xf numFmtId="165" fontId="17" fillId="0" borderId="12" xfId="0" applyNumberFormat="1" applyFont="1" applyBorder="1" applyAlignment="1" applyProtection="1">
      <alignment horizontal="center"/>
    </xf>
    <xf numFmtId="165" fontId="17" fillId="0" borderId="7" xfId="0" applyNumberFormat="1" applyFont="1" applyBorder="1" applyAlignment="1" applyProtection="1">
      <alignment horizontal="center"/>
    </xf>
    <xf numFmtId="0" fontId="0" fillId="0" borderId="0" xfId="0" applyAlignment="1">
      <alignment horizontal="left" vertical="top" wrapText="1"/>
    </xf>
    <xf numFmtId="0" fontId="0" fillId="0" borderId="1" xfId="0" applyBorder="1" applyAlignment="1" applyProtection="1">
      <alignment horizontal="center" vertical="center" wrapText="1"/>
    </xf>
    <xf numFmtId="0" fontId="31" fillId="0" borderId="0" xfId="0" applyFont="1" applyAlignment="1" applyProtection="1"/>
    <xf numFmtId="0" fontId="6" fillId="0" borderId="0" xfId="0" applyFont="1" applyAlignment="1" applyProtection="1"/>
    <xf numFmtId="0" fontId="1" fillId="4" borderId="8" xfId="0" applyFont="1" applyFill="1" applyBorder="1" applyAlignment="1" applyProtection="1">
      <alignment horizontal="center" vertical="top"/>
    </xf>
    <xf numFmtId="1" fontId="1" fillId="4" borderId="2" xfId="0" applyNumberFormat="1" applyFont="1" applyFill="1" applyBorder="1" applyAlignment="1" applyProtection="1">
      <alignment horizontal="center" vertical="top"/>
    </xf>
    <xf numFmtId="0" fontId="1" fillId="4" borderId="2" xfId="0" applyFont="1" applyFill="1" applyBorder="1" applyAlignment="1" applyProtection="1">
      <alignment horizontal="center" vertical="top"/>
    </xf>
    <xf numFmtId="2" fontId="1" fillId="4" borderId="5" xfId="0" applyNumberFormat="1" applyFont="1" applyFill="1" applyBorder="1" applyAlignment="1" applyProtection="1">
      <alignment horizontal="center" vertical="top"/>
    </xf>
    <xf numFmtId="2" fontId="1" fillId="4" borderId="2" xfId="0" applyNumberFormat="1" applyFont="1" applyFill="1" applyBorder="1" applyAlignment="1" applyProtection="1">
      <alignment horizontal="center" vertical="top"/>
    </xf>
    <xf numFmtId="2" fontId="2" fillId="0" borderId="0" xfId="1" applyNumberFormat="1" applyFont="1" applyBorder="1" applyAlignment="1" applyProtection="1">
      <alignment horizontal="center"/>
    </xf>
    <xf numFmtId="0" fontId="10" fillId="0" borderId="0" xfId="0" applyFont="1" applyProtection="1"/>
    <xf numFmtId="0" fontId="6" fillId="0" borderId="0" xfId="0" applyFont="1" applyAlignment="1" applyProtection="1">
      <alignment horizontal="right"/>
    </xf>
    <xf numFmtId="2" fontId="2" fillId="0" borderId="0" xfId="1" applyNumberFormat="1" applyFill="1" applyBorder="1" applyProtection="1"/>
    <xf numFmtId="0" fontId="0" fillId="2" borderId="0" xfId="0" applyFill="1" applyProtection="1"/>
    <xf numFmtId="165" fontId="0" fillId="0" borderId="0" xfId="0" applyNumberFormat="1" applyProtection="1"/>
    <xf numFmtId="2" fontId="1" fillId="4" borderId="0" xfId="0" applyNumberFormat="1" applyFont="1" applyFill="1" applyAlignment="1" applyProtection="1">
      <alignment horizontal="center" vertical="top"/>
    </xf>
    <xf numFmtId="0" fontId="30" fillId="0" borderId="0" xfId="1" applyFont="1" applyAlignment="1" applyProtection="1">
      <alignment horizontal="right"/>
    </xf>
    <xf numFmtId="49" fontId="0" fillId="0" borderId="0" xfId="0" applyNumberFormat="1" applyAlignment="1" applyProtection="1">
      <alignment horizontal="left"/>
    </xf>
    <xf numFmtId="1" fontId="0" fillId="0" borderId="0" xfId="0" applyNumberFormat="1" applyAlignment="1" applyProtection="1">
      <alignment horizontal="left"/>
    </xf>
    <xf numFmtId="49" fontId="0" fillId="0" borderId="0" xfId="0" applyNumberFormat="1" applyProtection="1"/>
    <xf numFmtId="2" fontId="0" fillId="0" borderId="0" xfId="0" applyNumberFormat="1" applyProtection="1"/>
    <xf numFmtId="2" fontId="7" fillId="0" borderId="0" xfId="0" applyNumberFormat="1" applyFont="1" applyFill="1" applyAlignment="1" applyProtection="1">
      <alignment horizontal="left"/>
    </xf>
    <xf numFmtId="2" fontId="5" fillId="0" borderId="0" xfId="0" applyNumberFormat="1" applyFont="1" applyAlignment="1" applyProtection="1">
      <alignment horizontal="left"/>
    </xf>
    <xf numFmtId="2" fontId="11" fillId="3" borderId="4" xfId="2" applyNumberFormat="1" applyAlignment="1" applyProtection="1">
      <alignment vertical="top"/>
      <protection locked="0"/>
    </xf>
    <xf numFmtId="2" fontId="11" fillId="3" borderId="11" xfId="2" applyNumberFormat="1" applyBorder="1" applyAlignment="1" applyProtection="1">
      <alignment vertical="top"/>
      <protection locked="0"/>
    </xf>
    <xf numFmtId="2" fontId="11" fillId="3" borderId="9" xfId="2" applyNumberFormat="1" applyBorder="1" applyAlignment="1" applyProtection="1">
      <alignment vertical="top"/>
      <protection locked="0"/>
    </xf>
    <xf numFmtId="2" fontId="11" fillId="3" borderId="14" xfId="2" applyNumberFormat="1" applyBorder="1" applyAlignment="1" applyProtection="1">
      <alignment vertical="top"/>
      <protection locked="0"/>
    </xf>
    <xf numFmtId="2" fontId="11" fillId="3" borderId="10" xfId="2" applyNumberFormat="1" applyBorder="1" applyAlignment="1" applyProtection="1">
      <alignment vertical="top"/>
      <protection locked="0"/>
    </xf>
    <xf numFmtId="2" fontId="11" fillId="3" borderId="13" xfId="2" applyNumberFormat="1" applyBorder="1" applyAlignment="1" applyProtection="1">
      <alignment vertical="top"/>
      <protection locked="0"/>
    </xf>
    <xf numFmtId="0" fontId="36" fillId="0" borderId="0" xfId="0" applyFont="1" applyProtection="1"/>
    <xf numFmtId="0" fontId="37" fillId="0" borderId="0" xfId="1" applyFont="1" applyAlignment="1" applyProtection="1">
      <alignment horizontal="left"/>
    </xf>
    <xf numFmtId="0" fontId="0" fillId="0" borderId="15" xfId="0" applyBorder="1"/>
    <xf numFmtId="0" fontId="36" fillId="0" borderId="0" xfId="0" applyFont="1" applyAlignment="1" applyProtection="1">
      <alignment horizontal="left"/>
    </xf>
    <xf numFmtId="0" fontId="11" fillId="3" borderId="4" xfId="2" applyAlignment="1" applyProtection="1">
      <alignment vertical="top"/>
      <protection locked="0"/>
    </xf>
    <xf numFmtId="166" fontId="11" fillId="3" borderId="4" xfId="2" applyNumberFormat="1" applyAlignment="1" applyProtection="1">
      <alignment vertical="top"/>
      <protection locked="0"/>
    </xf>
    <xf numFmtId="166" fontId="11" fillId="3" borderId="11" xfId="2" applyNumberFormat="1" applyBorder="1" applyAlignment="1" applyProtection="1">
      <alignment vertical="top"/>
      <protection locked="0"/>
    </xf>
    <xf numFmtId="0" fontId="11" fillId="3" borderId="9" xfId="2" applyBorder="1" applyAlignment="1" applyProtection="1">
      <alignment vertical="top"/>
      <protection locked="0"/>
    </xf>
    <xf numFmtId="166" fontId="11" fillId="3" borderId="9" xfId="2" applyNumberFormat="1" applyBorder="1" applyAlignment="1" applyProtection="1">
      <alignment vertical="top"/>
      <protection locked="0"/>
    </xf>
    <xf numFmtId="166" fontId="11" fillId="3" borderId="14" xfId="2" applyNumberFormat="1" applyBorder="1" applyAlignment="1" applyProtection="1">
      <alignment vertical="top"/>
      <protection locked="0"/>
    </xf>
    <xf numFmtId="0" fontId="8" fillId="4" borderId="2" xfId="0" applyFont="1" applyFill="1" applyBorder="1" applyAlignment="1" applyProtection="1">
      <alignment horizontal="center" wrapText="1"/>
    </xf>
    <xf numFmtId="0" fontId="1" fillId="4" borderId="2" xfId="0" applyFont="1" applyFill="1" applyBorder="1" applyAlignment="1" applyProtection="1">
      <alignment horizontal="center" wrapText="1"/>
    </xf>
    <xf numFmtId="2" fontId="3" fillId="0" borderId="5" xfId="1" applyNumberFormat="1" applyFont="1" applyFill="1" applyBorder="1" applyAlignment="1" applyProtection="1">
      <alignment horizontal="center" wrapText="1"/>
    </xf>
    <xf numFmtId="2" fontId="3" fillId="0" borderId="6" xfId="1" applyNumberFormat="1" applyFont="1" applyFill="1" applyBorder="1" applyAlignment="1" applyProtection="1">
      <alignment horizontal="center" wrapText="1"/>
    </xf>
    <xf numFmtId="2" fontId="17" fillId="0" borderId="7" xfId="0" applyNumberFormat="1" applyFont="1" applyBorder="1" applyAlignment="1" applyProtection="1">
      <alignment horizontal="center" wrapText="1"/>
    </xf>
    <xf numFmtId="0" fontId="17" fillId="0" borderId="0" xfId="0" applyFont="1" applyAlignment="1" applyProtection="1">
      <alignment horizontal="center" wrapText="1"/>
    </xf>
    <xf numFmtId="166" fontId="0" fillId="0" borderId="0" xfId="0" applyNumberFormat="1" applyProtection="1"/>
    <xf numFmtId="0" fontId="6" fillId="0" borderId="16" xfId="0" applyFont="1" applyBorder="1" applyAlignment="1" applyProtection="1">
      <alignment horizontal="center"/>
    </xf>
    <xf numFmtId="0" fontId="17" fillId="0" borderId="0" xfId="0" applyFont="1" applyBorder="1" applyAlignment="1" applyProtection="1">
      <alignment horizontal="center"/>
    </xf>
    <xf numFmtId="0" fontId="11" fillId="3" borderId="10" xfId="2" applyBorder="1" applyAlignment="1" applyProtection="1">
      <alignment vertical="top"/>
      <protection locked="0"/>
    </xf>
    <xf numFmtId="166" fontId="11" fillId="3" borderId="10" xfId="2" applyNumberFormat="1" applyBorder="1" applyAlignment="1" applyProtection="1">
      <alignment vertical="top"/>
      <protection locked="0"/>
    </xf>
    <xf numFmtId="165" fontId="11" fillId="3" borderId="13" xfId="2" applyNumberFormat="1" applyBorder="1" applyAlignment="1" applyProtection="1">
      <alignment vertical="top"/>
      <protection locked="0"/>
    </xf>
    <xf numFmtId="165" fontId="11" fillId="3" borderId="11" xfId="2" applyNumberFormat="1" applyBorder="1" applyAlignment="1" applyProtection="1">
      <alignment vertical="top"/>
      <protection locked="0"/>
    </xf>
    <xf numFmtId="165" fontId="11" fillId="3" borderId="14" xfId="2" applyNumberFormat="1" applyBorder="1" applyAlignment="1" applyProtection="1">
      <alignment vertical="top"/>
      <protection locked="0"/>
    </xf>
    <xf numFmtId="166" fontId="11" fillId="3" borderId="13" xfId="2" applyNumberFormat="1" applyBorder="1" applyAlignment="1" applyProtection="1">
      <alignment vertical="top"/>
      <protection locked="0"/>
    </xf>
    <xf numFmtId="165" fontId="1" fillId="0" borderId="0" xfId="0" applyNumberFormat="1" applyFont="1" applyAlignment="1" applyProtection="1">
      <alignment horizontal="center" vertical="center"/>
    </xf>
    <xf numFmtId="0" fontId="16" fillId="0" borderId="7" xfId="0" applyFont="1" applyBorder="1" applyAlignment="1" applyProtection="1">
      <alignment horizontal="center" vertical="top" wrapText="1"/>
    </xf>
    <xf numFmtId="0" fontId="17" fillId="0" borderId="0" xfId="0" applyFont="1" applyBorder="1" applyAlignment="1" applyProtection="1">
      <alignment horizontal="center" wrapText="1"/>
    </xf>
    <xf numFmtId="0" fontId="17" fillId="0" borderId="12" xfId="0" applyFont="1" applyFill="1" applyBorder="1" applyAlignment="1" applyProtection="1">
      <alignment horizontal="center"/>
    </xf>
    <xf numFmtId="0" fontId="0" fillId="0" borderId="0" xfId="0" applyBorder="1" applyAlignment="1" applyProtection="1">
      <alignment horizontal="center" vertical="center" wrapText="1"/>
    </xf>
    <xf numFmtId="0" fontId="15" fillId="0" borderId="0" xfId="0" applyFont="1" applyBorder="1" applyAlignment="1" applyProtection="1">
      <alignment wrapText="1"/>
    </xf>
    <xf numFmtId="2" fontId="0" fillId="0" borderId="0" xfId="0" applyNumberFormat="1" applyBorder="1" applyAlignment="1" applyProtection="1">
      <alignment horizontal="center" wrapText="1"/>
    </xf>
    <xf numFmtId="0" fontId="0" fillId="0" borderId="0" xfId="0" applyBorder="1" applyAlignment="1" applyProtection="1">
      <alignment horizontal="center" wrapText="1"/>
    </xf>
    <xf numFmtId="0" fontId="4" fillId="0" borderId="1" xfId="0" applyFont="1" applyBorder="1" applyAlignment="1" applyProtection="1">
      <alignment horizontal="center" vertical="top" wrapText="1"/>
    </xf>
    <xf numFmtId="1" fontId="4" fillId="0" borderId="1" xfId="0" applyNumberFormat="1" applyFont="1" applyBorder="1" applyAlignment="1" applyProtection="1">
      <alignment horizontal="center" vertical="top" wrapText="1"/>
    </xf>
    <xf numFmtId="0" fontId="16" fillId="0" borderId="1" xfId="0" applyFont="1" applyBorder="1" applyAlignment="1" applyProtection="1">
      <alignment horizontal="center" vertical="top" wrapText="1"/>
    </xf>
    <xf numFmtId="0" fontId="11" fillId="3" borderId="1" xfId="2" applyBorder="1" applyAlignment="1" applyProtection="1">
      <alignment horizontal="center" vertical="top" wrapText="1"/>
      <protection locked="0"/>
    </xf>
    <xf numFmtId="0" fontId="17" fillId="0" borderId="1" xfId="0" applyFont="1" applyBorder="1" applyAlignment="1" applyProtection="1">
      <alignment horizontal="center" vertical="top"/>
    </xf>
    <xf numFmtId="2" fontId="1" fillId="4" borderId="17" xfId="0" applyNumberFormat="1" applyFont="1" applyFill="1" applyBorder="1" applyAlignment="1" applyProtection="1">
      <alignment horizontal="center" wrapText="1"/>
    </xf>
    <xf numFmtId="2" fontId="1" fillId="4" borderId="18" xfId="0" applyNumberFormat="1" applyFont="1" applyFill="1" applyBorder="1" applyAlignment="1" applyProtection="1">
      <alignment horizontal="center" wrapText="1"/>
    </xf>
    <xf numFmtId="0" fontId="17" fillId="2" borderId="1" xfId="0" applyFont="1" applyFill="1" applyBorder="1" applyAlignment="1" applyProtection="1">
      <alignment horizontal="center" wrapText="1"/>
    </xf>
    <xf numFmtId="0" fontId="17" fillId="0" borderId="1" xfId="0" applyFont="1" applyBorder="1" applyAlignment="1" applyProtection="1">
      <alignment horizontal="center" wrapText="1"/>
    </xf>
    <xf numFmtId="0" fontId="6" fillId="0" borderId="1" xfId="0" applyFont="1" applyBorder="1" applyAlignment="1" applyProtection="1"/>
    <xf numFmtId="0" fontId="0" fillId="2" borderId="1" xfId="0" applyFill="1" applyBorder="1" applyAlignment="1" applyProtection="1">
      <alignment horizontal="center" wrapText="1"/>
    </xf>
    <xf numFmtId="0" fontId="6" fillId="0" borderId="1" xfId="0" applyFont="1" applyBorder="1" applyAlignment="1" applyProtection="1">
      <alignment horizontal="center"/>
    </xf>
    <xf numFmtId="2" fontId="1" fillId="4" borderId="19" xfId="0" applyNumberFormat="1" applyFont="1" applyFill="1" applyBorder="1" applyAlignment="1" applyProtection="1">
      <alignment horizontal="center"/>
    </xf>
    <xf numFmtId="2" fontId="1" fillId="4" borderId="20" xfId="0" applyNumberFormat="1" applyFont="1" applyFill="1" applyBorder="1" applyAlignment="1" applyProtection="1">
      <alignment horizontal="center"/>
    </xf>
    <xf numFmtId="2" fontId="19" fillId="0" borderId="6" xfId="1" applyNumberFormat="1" applyFont="1" applyFill="1" applyBorder="1" applyAlignment="1" applyProtection="1">
      <alignment horizontal="center"/>
    </xf>
    <xf numFmtId="0" fontId="17" fillId="2" borderId="1" xfId="0" applyFont="1" applyFill="1" applyBorder="1" applyAlignment="1" applyProtection="1">
      <alignment horizontal="center"/>
    </xf>
    <xf numFmtId="2" fontId="17" fillId="2" borderId="1" xfId="0" applyNumberFormat="1" applyFont="1" applyFill="1" applyBorder="1" applyAlignment="1" applyProtection="1">
      <alignment horizontal="left"/>
    </xf>
    <xf numFmtId="2" fontId="11" fillId="3" borderId="1" xfId="2" applyNumberFormat="1" applyBorder="1" applyAlignment="1" applyProtection="1">
      <alignment horizontal="center"/>
      <protection locked="0"/>
    </xf>
    <xf numFmtId="0" fontId="1" fillId="4" borderId="21" xfId="0" applyFont="1" applyFill="1" applyBorder="1" applyAlignment="1" applyProtection="1">
      <alignment horizontal="center"/>
    </xf>
    <xf numFmtId="0" fontId="1" fillId="4" borderId="21" xfId="0" applyFont="1" applyFill="1" applyBorder="1" applyAlignment="1" applyProtection="1">
      <alignment horizontal="center" vertical="center"/>
    </xf>
    <xf numFmtId="2" fontId="1" fillId="4" borderId="22" xfId="0" applyNumberFormat="1" applyFont="1" applyFill="1" applyBorder="1" applyAlignment="1" applyProtection="1">
      <alignment horizontal="center" vertical="center"/>
    </xf>
    <xf numFmtId="0" fontId="17" fillId="2" borderId="1" xfId="0" applyFont="1" applyFill="1" applyBorder="1" applyAlignment="1" applyProtection="1">
      <alignment horizontal="left"/>
    </xf>
    <xf numFmtId="166" fontId="11" fillId="3" borderId="1" xfId="2" applyNumberFormat="1" applyBorder="1" applyAlignment="1" applyProtection="1">
      <alignment horizontal="left"/>
      <protection locked="0"/>
    </xf>
    <xf numFmtId="0" fontId="0" fillId="0" borderId="1" xfId="0" applyBorder="1" applyAlignment="1" applyProtection="1">
      <alignment wrapText="1"/>
    </xf>
    <xf numFmtId="0" fontId="6" fillId="0" borderId="0" xfId="0" applyFont="1" applyAlignment="1" applyProtection="1">
      <protection locked="0"/>
    </xf>
    <xf numFmtId="0" fontId="0" fillId="0" borderId="0" xfId="0" applyProtection="1">
      <protection locked="0"/>
    </xf>
    <xf numFmtId="0" fontId="9" fillId="0" borderId="0" xfId="0" applyFont="1"/>
    <xf numFmtId="165" fontId="0" fillId="0" borderId="1" xfId="0" applyNumberFormat="1" applyBorder="1" applyAlignment="1" applyProtection="1">
      <alignment horizontal="center" wrapText="1"/>
    </xf>
    <xf numFmtId="0" fontId="0" fillId="0" borderId="0" xfId="0" applyAlignment="1"/>
    <xf numFmtId="0" fontId="16" fillId="0" borderId="1" xfId="0" applyFont="1" applyBorder="1" applyAlignment="1">
      <alignment horizontal="center" vertical="top" wrapText="1"/>
    </xf>
    <xf numFmtId="165" fontId="17" fillId="0" borderId="1" xfId="0" applyNumberFormat="1" applyFont="1" applyFill="1" applyBorder="1" applyAlignment="1" applyProtection="1">
      <alignment horizontal="center"/>
    </xf>
    <xf numFmtId="165" fontId="16" fillId="0" borderId="1" xfId="0" applyNumberFormat="1" applyFont="1" applyBorder="1" applyAlignment="1">
      <alignment horizontal="center" vertical="top"/>
    </xf>
    <xf numFmtId="0" fontId="11" fillId="5" borderId="1" xfId="0" applyFont="1" applyFill="1" applyBorder="1" applyAlignment="1" applyProtection="1">
      <alignment horizontal="center"/>
      <protection locked="0"/>
    </xf>
    <xf numFmtId="0" fontId="40" fillId="0" borderId="0" xfId="0" applyFont="1" applyAlignment="1" applyProtection="1">
      <alignment horizontal="left"/>
    </xf>
    <xf numFmtId="0" fontId="1" fillId="0" borderId="2" xfId="0" applyFont="1" applyFill="1" applyBorder="1" applyAlignment="1" applyProtection="1">
      <alignment horizontal="center" vertical="top"/>
    </xf>
    <xf numFmtId="0" fontId="11" fillId="5" borderId="1" xfId="0" applyFont="1" applyFill="1" applyBorder="1" applyAlignment="1" applyProtection="1">
      <alignment horizontal="center" vertical="top" wrapText="1"/>
      <protection locked="0"/>
    </xf>
    <xf numFmtId="0" fontId="0" fillId="0" borderId="0" xfId="0" applyAlignment="1">
      <alignment horizontal="left" vertical="top" wrapText="1"/>
    </xf>
    <xf numFmtId="0" fontId="26" fillId="0" borderId="23" xfId="0" applyFont="1" applyBorder="1" applyAlignment="1">
      <alignment wrapText="1"/>
    </xf>
    <xf numFmtId="0" fontId="0" fillId="0" borderId="24" xfId="0" applyBorder="1" applyAlignment="1">
      <alignment wrapText="1"/>
    </xf>
    <xf numFmtId="0" fontId="0" fillId="0" borderId="25" xfId="0" applyBorder="1" applyAlignment="1">
      <alignment wrapText="1"/>
    </xf>
    <xf numFmtId="0" fontId="0" fillId="0" borderId="12" xfId="0" applyBorder="1" applyAlignment="1"/>
    <xf numFmtId="0" fontId="15" fillId="0" borderId="12" xfId="0" applyFont="1" applyBorder="1" applyAlignment="1">
      <alignment vertical="center" wrapText="1"/>
    </xf>
    <xf numFmtId="0" fontId="0" fillId="0" borderId="12" xfId="0" applyBorder="1" applyAlignment="1">
      <alignment vertical="center" wrapText="1"/>
    </xf>
    <xf numFmtId="0" fontId="40" fillId="0" borderId="0" xfId="0" applyFont="1" applyAlignment="1" applyProtection="1">
      <alignment horizontal="center"/>
    </xf>
    <xf numFmtId="0" fontId="10" fillId="0" borderId="0" xfId="0" applyFont="1" applyAlignment="1" applyProtection="1">
      <alignment horizontal="center"/>
    </xf>
    <xf numFmtId="0" fontId="0" fillId="0" borderId="1" xfId="0" applyBorder="1" applyAlignment="1" applyProtection="1">
      <alignment horizontal="center" vertical="center" wrapText="1"/>
    </xf>
    <xf numFmtId="0" fontId="33" fillId="0" borderId="0" xfId="0" applyFont="1" applyAlignment="1" applyProtection="1">
      <alignment horizontal="left"/>
    </xf>
  </cellXfs>
  <cellStyles count="4">
    <cellStyle name="Input" xfId="2" builtinId="20"/>
    <cellStyle name="Normal" xfId="0" builtinId="0"/>
    <cellStyle name="Normal 2" xfId="3" xr:uid="{00000000-0005-0000-0000-000002000000}"/>
    <cellStyle name="Normal 2 2"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03937007874017"/>
          <c:y val="4.6296296296296294E-2"/>
          <c:w val="0.83762729658792656"/>
          <c:h val="0.74350320793234181"/>
        </c:manualLayout>
      </c:layout>
      <c:scatterChart>
        <c:scatterStyle val="lineMarker"/>
        <c:varyColors val="0"/>
        <c:ser>
          <c:idx val="0"/>
          <c:order val="0"/>
          <c:tx>
            <c:strRef>
              <c:f>Standards_Data!$AA$30:$AA$30</c:f>
              <c:strCache>
                <c:ptCount val="1"/>
                <c:pt idx="0">
                  <c:v>DNA Standard Cq values</c:v>
                </c:pt>
              </c:strCache>
            </c:strRef>
          </c:tx>
          <c:spPr>
            <a:ln w="25400" cap="rnd">
              <a:noFill/>
              <a:round/>
            </a:ln>
            <a:effectLst/>
          </c:spPr>
          <c:marker>
            <c:symbol val="circle"/>
            <c:size val="3"/>
            <c:spPr>
              <a:solidFill>
                <a:schemeClr val="tx1">
                  <a:alpha val="90000"/>
                </a:schemeClr>
              </a:solidFill>
              <a:ln w="9525">
                <a:noFill/>
              </a:ln>
              <a:effectLst/>
            </c:spPr>
          </c:marker>
          <c:xVal>
            <c:numRef>
              <c:f>Standards_Data!$Z$31:$Z$45</c:f>
              <c:numCache>
                <c:formatCode>0.000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Standards_Data!$AA$31:$AA$45</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0"/>
          <c:extLst>
            <c:ext xmlns:c16="http://schemas.microsoft.com/office/drawing/2014/chart" uri="{C3380CC4-5D6E-409C-BE32-E72D297353CC}">
              <c16:uniqueId val="{00000000-6BE5-4C6E-B9B6-FE18B3B2A6E9}"/>
            </c:ext>
          </c:extLst>
        </c:ser>
        <c:ser>
          <c:idx val="1"/>
          <c:order val="1"/>
          <c:tx>
            <c:strRef>
              <c:f>Standards_Data!$AB$30:$AB$30</c:f>
              <c:strCache>
                <c:ptCount val="1"/>
                <c:pt idx="0">
                  <c:v>Fitted Model</c:v>
                </c:pt>
              </c:strCache>
            </c:strRef>
          </c:tx>
          <c:spPr>
            <a:ln w="3175" cap="rnd">
              <a:solidFill>
                <a:schemeClr val="tx1"/>
              </a:solidFill>
              <a:round/>
            </a:ln>
            <a:effectLst/>
          </c:spPr>
          <c:marker>
            <c:symbol val="none"/>
          </c:marker>
          <c:xVal>
            <c:numRef>
              <c:f>Standards_Data!$Z$31:$Z$45</c:f>
              <c:numCache>
                <c:formatCode>0.000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Standards_Data!$AB$31:$AB$45</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0"/>
          <c:extLst>
            <c:ext xmlns:c16="http://schemas.microsoft.com/office/drawing/2014/chart" uri="{C3380CC4-5D6E-409C-BE32-E72D297353CC}">
              <c16:uniqueId val="{00000001-6BE5-4C6E-B9B6-FE18B3B2A6E9}"/>
            </c:ext>
          </c:extLst>
        </c:ser>
        <c:ser>
          <c:idx val="2"/>
          <c:order val="2"/>
          <c:tx>
            <c:strRef>
              <c:f>Standards_Data!$AC$30:$AC$30</c:f>
              <c:strCache>
                <c:ptCount val="1"/>
                <c:pt idx="0">
                  <c:v>95% Prediction Limits</c:v>
                </c:pt>
              </c:strCache>
            </c:strRef>
          </c:tx>
          <c:spPr>
            <a:ln w="3175" cap="rnd">
              <a:solidFill>
                <a:srgbClr val="C00000"/>
              </a:solidFill>
              <a:prstDash val="sysDash"/>
              <a:round/>
            </a:ln>
            <a:effectLst/>
          </c:spPr>
          <c:marker>
            <c:symbol val="none"/>
          </c:marker>
          <c:xVal>
            <c:numRef>
              <c:f>Standards_Data!$Z$31:$Z$45</c:f>
              <c:numCache>
                <c:formatCode>0.000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Standards_Data!$AC$31:$AC$45</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2-6BE5-4C6E-B9B6-FE18B3B2A6E9}"/>
            </c:ext>
          </c:extLst>
        </c:ser>
        <c:ser>
          <c:idx val="3"/>
          <c:order val="3"/>
          <c:tx>
            <c:strRef>
              <c:f>Standards_Data!$AD$30:$AD$30</c:f>
              <c:strCache>
                <c:ptCount val="1"/>
              </c:strCache>
            </c:strRef>
          </c:tx>
          <c:spPr>
            <a:ln w="3175" cap="rnd">
              <a:solidFill>
                <a:srgbClr val="C00000"/>
              </a:solidFill>
              <a:prstDash val="sysDash"/>
              <a:round/>
            </a:ln>
            <a:effectLst/>
          </c:spPr>
          <c:marker>
            <c:symbol val="none"/>
          </c:marker>
          <c:xVal>
            <c:numRef>
              <c:f>Standards_Data!$Z$31:$Z$45</c:f>
              <c:numCache>
                <c:formatCode>0.000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Standards_Data!$AD$31:$AD$45</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3-6BE5-4C6E-B9B6-FE18B3B2A6E9}"/>
            </c:ext>
          </c:extLst>
        </c:ser>
        <c:dLbls>
          <c:showLegendKey val="0"/>
          <c:showVal val="0"/>
          <c:showCatName val="0"/>
          <c:showSerName val="0"/>
          <c:showPercent val="0"/>
          <c:showBubbleSize val="0"/>
        </c:dLbls>
        <c:axId val="194942432"/>
        <c:axId val="194942824"/>
      </c:scatterChart>
      <c:valAx>
        <c:axId val="194942432"/>
        <c:scaling>
          <c:orientation val="minMax"/>
          <c:max val="5"/>
          <c:min val="1"/>
        </c:scaling>
        <c:delete val="0"/>
        <c:axPos val="b"/>
        <c:title>
          <c:tx>
            <c:rich>
              <a:bodyPr rot="0" spcFirstLastPara="1" vertOverflow="ellipsis" vert="horz" wrap="square" anchor="ctr" anchorCtr="1"/>
              <a:lstStyle/>
              <a:p>
                <a:pPr>
                  <a:defRPr sz="1000" b="0" i="0" u="none" strike="noStrike" kern="1200" baseline="0">
                    <a:ln w="3175">
                      <a:noFill/>
                    </a:ln>
                    <a:solidFill>
                      <a:schemeClr val="tx1">
                        <a:lumMod val="65000"/>
                        <a:lumOff val="35000"/>
                      </a:schemeClr>
                    </a:solidFill>
                    <a:latin typeface="+mn-lt"/>
                    <a:ea typeface="+mn-ea"/>
                    <a:cs typeface="+mn-cs"/>
                  </a:defRPr>
                </a:pPr>
                <a:r>
                  <a:rPr lang="en-US" sz="1000" b="1">
                    <a:effectLst/>
                  </a:rPr>
                  <a:t>Calibration Curve DNA Standard Log</a:t>
                </a:r>
                <a:r>
                  <a:rPr lang="en-US" sz="1000" b="1" baseline="-25000">
                    <a:effectLst/>
                  </a:rPr>
                  <a:t>10   </a:t>
                </a:r>
                <a:r>
                  <a:rPr lang="en-US" sz="1000" b="1" baseline="0">
                    <a:effectLst/>
                  </a:rPr>
                  <a:t>C</a:t>
                </a:r>
                <a:r>
                  <a:rPr lang="en-US" sz="1000" b="1">
                    <a:effectLst/>
                  </a:rPr>
                  <a:t>opies per Reaction</a:t>
                </a:r>
              </a:p>
            </c:rich>
          </c:tx>
          <c:layout>
            <c:manualLayout>
              <c:xMode val="edge"/>
              <c:yMode val="edge"/>
              <c:x val="0.1999833523917777"/>
              <c:y val="0.87467948408289442"/>
            </c:manualLayout>
          </c:layout>
          <c:overlay val="0"/>
          <c:spPr>
            <a:noFill/>
            <a:ln>
              <a:noFill/>
            </a:ln>
            <a:effectLst/>
          </c:spPr>
          <c:txPr>
            <a:bodyPr rot="0" spcFirstLastPara="1" vertOverflow="ellipsis" vert="horz" wrap="square" anchor="ctr" anchorCtr="1"/>
            <a:lstStyle/>
            <a:p>
              <a:pPr>
                <a:defRPr sz="1000" b="0" i="0" u="none" strike="noStrike" kern="1200" baseline="0">
                  <a:ln w="3175">
                    <a:noFill/>
                  </a:ln>
                  <a:solidFill>
                    <a:schemeClr val="tx1">
                      <a:lumMod val="65000"/>
                      <a:lumOff val="35000"/>
                    </a:schemeClr>
                  </a:solidFill>
                  <a:latin typeface="+mn-lt"/>
                  <a:ea typeface="+mn-ea"/>
                  <a:cs typeface="+mn-cs"/>
                </a:defRPr>
              </a:pPr>
              <a:endParaRPr lang="en-US"/>
            </a:p>
          </c:txPr>
        </c:title>
        <c:numFmt formatCode="0.000"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ln w="0">
                  <a:noFill/>
                </a:ln>
                <a:solidFill>
                  <a:schemeClr val="tx1">
                    <a:lumMod val="65000"/>
                    <a:lumOff val="35000"/>
                  </a:schemeClr>
                </a:solidFill>
                <a:latin typeface="+mn-lt"/>
                <a:ea typeface="+mn-ea"/>
                <a:cs typeface="+mn-cs"/>
              </a:defRPr>
            </a:pPr>
            <a:endParaRPr lang="en-US"/>
          </a:p>
        </c:txPr>
        <c:crossAx val="194942824"/>
        <c:crosses val="autoZero"/>
        <c:crossBetween val="midCat"/>
        <c:majorUnit val="1"/>
      </c:valAx>
      <c:valAx>
        <c:axId val="194942824"/>
        <c:scaling>
          <c:orientation val="minMax"/>
          <c:max val="40"/>
          <c:min val="15"/>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t>Quantification Cycle (Cq)</a:t>
                </a:r>
                <a:r>
                  <a:rPr lang="en-US" sz="100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beve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42432"/>
        <c:crossesAt val="0.8"/>
        <c:crossBetween val="midCat"/>
        <c:majorUnit val="5"/>
      </c:valAx>
      <c:spPr>
        <a:noFill/>
        <a:ln w="3175">
          <a:noFill/>
        </a:ln>
        <a:effectLst/>
      </c:spPr>
    </c:plotArea>
    <c:legend>
      <c:legendPos val="r"/>
      <c:legendEntry>
        <c:idx val="3"/>
        <c:delete val="1"/>
      </c:legendEntry>
      <c:layout>
        <c:manualLayout>
          <c:xMode val="edge"/>
          <c:yMode val="edge"/>
          <c:x val="0.65066055811268875"/>
          <c:y val="2.4264639333876376E-2"/>
          <c:w val="0.33600183491865321"/>
          <c:h val="0.146873020182821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4818475248154"/>
          <c:y val="0.26377578214358771"/>
          <c:w val="0.83129396325459315"/>
          <c:h val="0.6081087847889981"/>
        </c:manualLayout>
      </c:layout>
      <c:scatterChart>
        <c:scatterStyle val="lineMarker"/>
        <c:varyColors val="0"/>
        <c:ser>
          <c:idx val="0"/>
          <c:order val="0"/>
          <c:tx>
            <c:strRef>
              <c:f>Samples_Data!$M$72</c:f>
              <c:strCache>
                <c:ptCount val="1"/>
                <c:pt idx="0">
                  <c:v>SPC Adjustment Threshold</c:v>
                </c:pt>
              </c:strCache>
            </c:strRef>
          </c:tx>
          <c:spPr>
            <a:ln w="9525" cap="rnd">
              <a:solidFill>
                <a:srgbClr val="C00000"/>
              </a:solidFill>
              <a:prstDash val="sysDash"/>
              <a:round/>
            </a:ln>
            <a:effectLst/>
          </c:spPr>
          <c:marker>
            <c:symbol val="none"/>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Samples_Data!$M$73:$M$93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32E3-4E0C-8D32-BA0D2FEC8307}"/>
            </c:ext>
          </c:extLst>
        </c:ser>
        <c:ser>
          <c:idx val="1"/>
          <c:order val="1"/>
          <c:tx>
            <c:strRef>
              <c:f>Samples_Data!$L$72</c:f>
              <c:strCache>
                <c:ptCount val="1"/>
                <c:pt idx="0">
                  <c:v>SPC Aceptance Threshold</c:v>
                </c:pt>
              </c:strCache>
            </c:strRef>
          </c:tx>
          <c:spPr>
            <a:ln w="15875" cap="rnd">
              <a:solidFill>
                <a:schemeClr val="accent1"/>
              </a:solidFill>
              <a:prstDash val="dashDot"/>
              <a:round/>
            </a:ln>
            <a:effectLst/>
          </c:spPr>
          <c:marker>
            <c:symbol val="none"/>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Samples_Data!$L$73:$L$93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1-32E3-4E0C-8D32-BA0D2FEC8307}"/>
            </c:ext>
          </c:extLst>
        </c:ser>
        <c:ser>
          <c:idx val="2"/>
          <c:order val="2"/>
          <c:tx>
            <c:strRef>
              <c:f>Samples_Data!$K$72</c:f>
              <c:strCache>
                <c:ptCount val="1"/>
                <c:pt idx="0">
                  <c:v>Fail SPC test</c:v>
                </c:pt>
              </c:strCache>
            </c:strRef>
          </c:tx>
          <c:spPr>
            <a:ln w="19050" cap="rnd">
              <a:noFill/>
              <a:round/>
            </a:ln>
            <a:effectLst/>
          </c:spPr>
          <c:marker>
            <c:symbol val="diamond"/>
            <c:size val="3"/>
            <c:spPr>
              <a:solidFill>
                <a:srgbClr val="C00000"/>
              </a:solidFill>
              <a:ln w="9525">
                <a:solidFill>
                  <a:srgbClr val="C00000"/>
                </a:solidFill>
              </a:ln>
              <a:effectLst/>
            </c:spPr>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Samples_Data!$K$73:$K$93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2-32E3-4E0C-8D32-BA0D2FEC8307}"/>
            </c:ext>
          </c:extLst>
        </c:ser>
        <c:ser>
          <c:idx val="3"/>
          <c:order val="3"/>
          <c:tx>
            <c:strRef>
              <c:f>Samples_Data!$J$72</c:f>
              <c:strCache>
                <c:ptCount val="1"/>
                <c:pt idx="0">
                  <c:v>Eligible for Cq adjustment</c:v>
                </c:pt>
              </c:strCache>
            </c:strRef>
          </c:tx>
          <c:spPr>
            <a:ln w="19050" cap="rnd">
              <a:noFill/>
              <a:round/>
            </a:ln>
            <a:effectLst/>
          </c:spPr>
          <c:marker>
            <c:symbol val="square"/>
            <c:size val="3"/>
            <c:spPr>
              <a:solidFill>
                <a:schemeClr val="accent4"/>
              </a:solidFill>
              <a:ln w="9525">
                <a:solidFill>
                  <a:schemeClr val="accent4"/>
                </a:solidFill>
              </a:ln>
              <a:effectLst/>
            </c:spPr>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Samples_Data!$J$73:$J$93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3-32E3-4E0C-8D32-BA0D2FEC8307}"/>
            </c:ext>
          </c:extLst>
        </c:ser>
        <c:ser>
          <c:idx val="4"/>
          <c:order val="4"/>
          <c:tx>
            <c:strRef>
              <c:f>Samples_Data!$H$72</c:f>
              <c:strCache>
                <c:ptCount val="1"/>
                <c:pt idx="0">
                  <c:v>Pass SPC Acceptance Threshold</c:v>
                </c:pt>
              </c:strCache>
            </c:strRef>
          </c:tx>
          <c:spPr>
            <a:ln w="25400" cap="rnd">
              <a:noFill/>
              <a:round/>
            </a:ln>
            <a:effectLst/>
          </c:spPr>
          <c:marker>
            <c:symbol val="circle"/>
            <c:size val="3"/>
            <c:spPr>
              <a:solidFill>
                <a:srgbClr val="00B050"/>
              </a:solidFill>
              <a:ln w="6350">
                <a:solidFill>
                  <a:schemeClr val="tx1"/>
                </a:solidFill>
              </a:ln>
              <a:effectLst/>
            </c:spPr>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Samples_Data!$H$73:$H$93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4-32E3-4E0C-8D32-BA0D2FEC8307}"/>
            </c:ext>
          </c:extLst>
        </c:ser>
        <c:ser>
          <c:idx val="5"/>
          <c:order val="5"/>
          <c:tx>
            <c:strRef>
              <c:f>Samples_Data!$N$72</c:f>
              <c:strCache>
                <c:ptCount val="1"/>
                <c:pt idx="0">
                  <c:v>Cq &gt; 30</c:v>
                </c:pt>
              </c:strCache>
            </c:strRef>
          </c:tx>
          <c:spPr>
            <a:ln w="19050" cap="rnd">
              <a:noFill/>
              <a:round/>
            </a:ln>
            <a:effectLst/>
          </c:spPr>
          <c:marker>
            <c:symbol val="x"/>
            <c:size val="3"/>
            <c:spPr>
              <a:noFill/>
              <a:ln w="6350">
                <a:solidFill>
                  <a:schemeClr val="accent2">
                    <a:lumMod val="50000"/>
                  </a:schemeClr>
                </a:solidFill>
              </a:ln>
              <a:effectLst/>
            </c:spPr>
          </c:marker>
          <c:xVal>
            <c:numRef>
              <c:f>Samples_Data!$I$73:$I$93</c:f>
              <c:numCache>
                <c:formatCode>0</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Samples_Data!$N$73:$N$93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5-32E3-4E0C-8D32-BA0D2FEC8307}"/>
            </c:ext>
          </c:extLst>
        </c:ser>
        <c:dLbls>
          <c:showLegendKey val="0"/>
          <c:showVal val="0"/>
          <c:showCatName val="0"/>
          <c:showSerName val="0"/>
          <c:showPercent val="0"/>
          <c:showBubbleSize val="0"/>
        </c:dLbls>
        <c:axId val="194943608"/>
        <c:axId val="277669984"/>
      </c:scatterChart>
      <c:valAx>
        <c:axId val="194943608"/>
        <c:scaling>
          <c:orientation val="minMax"/>
          <c:max val="21"/>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latin typeface="Arial" panose="020B0604020202020204" pitchFamily="34" charset="0"/>
                    <a:cs typeface="Arial" panose="020B0604020202020204" pitchFamily="34" charset="0"/>
                  </a:rPr>
                  <a:t>Test Filter No.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669984"/>
        <c:crosses val="autoZero"/>
        <c:crossBetween val="midCat"/>
        <c:majorUnit val="3"/>
        <c:minorUnit val="1"/>
      </c:valAx>
      <c:valAx>
        <c:axId val="277669984"/>
        <c:scaling>
          <c:orientation val="minMax"/>
          <c:max val="30"/>
          <c:min val="15"/>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1">
                    <a:latin typeface="Arial" panose="020B0604020202020204" pitchFamily="34" charset="0"/>
                    <a:cs typeface="Arial" panose="020B0604020202020204" pitchFamily="34" charset="0"/>
                  </a:rPr>
                  <a:t>Mean Sketa22 Cq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43608"/>
        <c:crosses val="autoZero"/>
        <c:crossBetween val="midCat"/>
        <c:majorUnit val="3"/>
      </c:valAx>
      <c:spPr>
        <a:noFill/>
        <a:ln>
          <a:noFill/>
        </a:ln>
        <a:effectLst/>
      </c:spPr>
    </c:plotArea>
    <c:legend>
      <c:legendPos val="b"/>
      <c:layout>
        <c:manualLayout>
          <c:xMode val="edge"/>
          <c:yMode val="edge"/>
          <c:x val="0.59760791649240397"/>
          <c:y val="3.0759696809952454E-3"/>
          <c:w val="0.37372964249034091"/>
          <c:h val="0.22361253965098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67236</xdr:colOff>
      <xdr:row>0</xdr:row>
      <xdr:rowOff>134471</xdr:rowOff>
    </xdr:from>
    <xdr:to>
      <xdr:col>3</xdr:col>
      <xdr:colOff>514351</xdr:colOff>
      <xdr:row>0</xdr:row>
      <xdr:rowOff>448796</xdr:rowOff>
    </xdr:to>
    <xdr:pic>
      <xdr:nvPicPr>
        <xdr:cNvPr id="3" name="Picture 1" descr="epa_logo_horiz_small.gif">
          <a:extLst>
            <a:ext uri="{FF2B5EF4-FFF2-40B4-BE49-F238E27FC236}">
              <a16:creationId xmlns:a16="http://schemas.microsoft.com/office/drawing/2014/main" id="{AB21F138-36AE-4992-BE67-3C38EE9B07B3}"/>
            </a:ext>
          </a:extLst>
        </xdr:cNvPr>
        <xdr:cNvPicPr>
          <a:picLocks noChangeAspect="1"/>
        </xdr:cNvPicPr>
      </xdr:nvPicPr>
      <xdr:blipFill>
        <a:blip xmlns:r="http://schemas.openxmlformats.org/officeDocument/2006/relationships" r:embed="rId1" cstate="print"/>
        <a:srcRect/>
        <a:stretch>
          <a:fillRect/>
        </a:stretch>
      </xdr:blipFill>
      <xdr:spPr bwMode="auto">
        <a:xfrm>
          <a:off x="67236" y="134471"/>
          <a:ext cx="2228850" cy="3143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5</xdr:row>
      <xdr:rowOff>0</xdr:rowOff>
    </xdr:from>
    <xdr:to>
      <xdr:col>11</xdr:col>
      <xdr:colOff>539494</xdr:colOff>
      <xdr:row>21</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21590</xdr:colOff>
      <xdr:row>34</xdr:row>
      <xdr:rowOff>34290</xdr:rowOff>
    </xdr:from>
    <xdr:to>
      <xdr:col>12</xdr:col>
      <xdr:colOff>594360</xdr:colOff>
      <xdr:row>54</xdr:row>
      <xdr:rowOff>168087</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38"/>
  <sheetViews>
    <sheetView tabSelected="1" topLeftCell="A2" zoomScale="85" zoomScaleNormal="85" workbookViewId="0">
      <selection activeCell="V23" sqref="V23"/>
    </sheetView>
  </sheetViews>
  <sheetFormatPr defaultColWidth="8.85546875" defaultRowHeight="15" x14ac:dyDescent="0.25"/>
  <cols>
    <col min="1" max="8" width="8.85546875" style="2"/>
    <col min="9" max="13" width="9.140625" style="2"/>
    <col min="14" max="16" width="8.85546875" style="2"/>
    <col min="17" max="20" width="9.140625" style="2" customWidth="1"/>
    <col min="21" max="16384" width="8.85546875" style="2"/>
  </cols>
  <sheetData>
    <row r="1" spans="1:14" ht="45" customHeight="1" thickBot="1" x14ac:dyDescent="0.3">
      <c r="A1" s="227"/>
      <c r="B1" s="227"/>
      <c r="C1" s="227"/>
      <c r="D1" s="227"/>
      <c r="I1" s="228" t="s">
        <v>247</v>
      </c>
      <c r="J1" s="229"/>
      <c r="K1" s="229"/>
    </row>
    <row r="2" spans="1:14" ht="24.95" customHeight="1" thickBot="1" x14ac:dyDescent="0.4">
      <c r="A2" s="224" t="s">
        <v>248</v>
      </c>
      <c r="B2" s="225"/>
      <c r="C2" s="225"/>
      <c r="D2" s="225"/>
      <c r="E2" s="225"/>
      <c r="F2" s="225"/>
      <c r="G2" s="225"/>
      <c r="H2" s="225"/>
      <c r="I2" s="225"/>
      <c r="J2" s="225"/>
      <c r="K2" s="226"/>
      <c r="L2" s="215"/>
      <c r="M2" s="215"/>
    </row>
    <row r="4" spans="1:14" ht="15" customHeight="1" x14ac:dyDescent="0.25">
      <c r="A4" s="223" t="s">
        <v>249</v>
      </c>
      <c r="B4" s="223"/>
      <c r="C4" s="223"/>
      <c r="D4" s="223"/>
      <c r="E4" s="223"/>
      <c r="F4" s="223"/>
      <c r="G4" s="223"/>
      <c r="H4" s="223"/>
      <c r="I4" s="223"/>
      <c r="J4" s="223"/>
      <c r="K4" s="223"/>
      <c r="L4" s="223"/>
    </row>
    <row r="5" spans="1:14" x14ac:dyDescent="0.25">
      <c r="A5" s="223"/>
      <c r="B5" s="223"/>
      <c r="C5" s="223"/>
      <c r="D5" s="223"/>
      <c r="E5" s="223"/>
      <c r="F5" s="223"/>
      <c r="G5" s="223"/>
      <c r="H5" s="223"/>
      <c r="I5" s="223"/>
      <c r="J5" s="223"/>
      <c r="K5" s="223"/>
      <c r="L5" s="223"/>
    </row>
    <row r="6" spans="1:14" x14ac:dyDescent="0.25">
      <c r="A6" s="223"/>
      <c r="B6" s="223"/>
      <c r="C6" s="223"/>
      <c r="D6" s="223"/>
      <c r="E6" s="223"/>
      <c r="F6" s="223"/>
      <c r="G6" s="223"/>
      <c r="H6" s="223"/>
      <c r="I6" s="223"/>
      <c r="J6" s="223"/>
      <c r="K6" s="223"/>
      <c r="L6" s="223"/>
    </row>
    <row r="7" spans="1:14" x14ac:dyDescent="0.25">
      <c r="A7" s="223"/>
      <c r="B7" s="223"/>
      <c r="C7" s="223"/>
      <c r="D7" s="223"/>
      <c r="E7" s="223"/>
      <c r="F7" s="223"/>
      <c r="G7" s="223"/>
      <c r="H7" s="223"/>
      <c r="I7" s="223"/>
      <c r="J7" s="223"/>
      <c r="K7" s="223"/>
      <c r="L7" s="223"/>
    </row>
    <row r="8" spans="1:14" x14ac:dyDescent="0.25">
      <c r="A8" s="125"/>
      <c r="B8" s="125"/>
      <c r="C8" s="125"/>
      <c r="D8" s="125"/>
      <c r="E8" s="125"/>
      <c r="F8" s="125"/>
      <c r="G8" s="125"/>
      <c r="H8" s="125"/>
      <c r="I8" s="125"/>
      <c r="J8" s="125"/>
      <c r="K8" s="125"/>
      <c r="L8" s="125"/>
    </row>
    <row r="9" spans="1:14" x14ac:dyDescent="0.25">
      <c r="A9" s="125"/>
      <c r="B9" s="125"/>
      <c r="C9" s="125"/>
      <c r="D9" s="125"/>
      <c r="E9" s="125"/>
      <c r="F9" s="125"/>
      <c r="G9" s="125"/>
      <c r="H9" s="125"/>
      <c r="I9" s="125"/>
      <c r="J9" s="125"/>
      <c r="K9" s="125"/>
      <c r="L9" s="125"/>
    </row>
    <row r="10" spans="1:14" ht="18.75" x14ac:dyDescent="0.3">
      <c r="A10" s="100" t="s">
        <v>227</v>
      </c>
      <c r="H10" s="1"/>
      <c r="I10" s="1"/>
      <c r="J10" s="1"/>
      <c r="K10" s="1"/>
      <c r="L10" s="1"/>
      <c r="M10" s="1"/>
    </row>
    <row r="11" spans="1:14" x14ac:dyDescent="0.25">
      <c r="A11" s="2" t="s">
        <v>228</v>
      </c>
      <c r="H11" s="1"/>
      <c r="I11" s="1"/>
      <c r="J11" s="1"/>
      <c r="K11" s="1"/>
      <c r="L11" s="1"/>
      <c r="M11" s="1"/>
    </row>
    <row r="12" spans="1:14" x14ac:dyDescent="0.25">
      <c r="A12" s="213" t="s">
        <v>246</v>
      </c>
      <c r="H12" s="1"/>
      <c r="I12" s="1"/>
      <c r="J12" s="1"/>
      <c r="K12" s="1"/>
      <c r="L12" s="1"/>
      <c r="M12" s="1"/>
    </row>
    <row r="13" spans="1:14" x14ac:dyDescent="0.25">
      <c r="H13" s="1"/>
      <c r="I13" s="1"/>
      <c r="J13" s="1"/>
      <c r="K13" s="1"/>
      <c r="L13" s="1"/>
      <c r="M13" s="1"/>
    </row>
    <row r="14" spans="1:14" x14ac:dyDescent="0.25">
      <c r="D14" s="3"/>
      <c r="E14" s="3"/>
      <c r="F14" s="3"/>
      <c r="G14" s="3"/>
      <c r="M14" s="3"/>
      <c r="N14" s="3"/>
    </row>
    <row r="15" spans="1:14" ht="18.75" x14ac:dyDescent="0.3">
      <c r="A15" s="100" t="s">
        <v>213</v>
      </c>
      <c r="D15" s="3"/>
      <c r="E15" s="3"/>
      <c r="F15" s="3"/>
      <c r="G15" s="3"/>
      <c r="M15" s="3"/>
      <c r="N15" s="3"/>
    </row>
    <row r="16" spans="1:14" x14ac:dyDescent="0.25">
      <c r="A16" s="2" t="s">
        <v>245</v>
      </c>
      <c r="D16" s="3"/>
      <c r="E16" s="3"/>
      <c r="F16" s="3"/>
      <c r="G16" s="3"/>
      <c r="M16" s="3"/>
      <c r="N16" s="3"/>
    </row>
    <row r="17" spans="1:14" x14ac:dyDescent="0.25">
      <c r="A17" s="2" t="s">
        <v>191</v>
      </c>
      <c r="D17" s="3"/>
      <c r="E17" s="3"/>
      <c r="F17" s="3"/>
      <c r="G17" s="3"/>
      <c r="M17" s="3"/>
      <c r="N17" s="3"/>
    </row>
    <row r="18" spans="1:14" x14ac:dyDescent="0.25">
      <c r="A18" s="2" t="s">
        <v>190</v>
      </c>
      <c r="D18" s="3"/>
      <c r="E18" s="3"/>
      <c r="F18" s="3"/>
      <c r="G18" s="3"/>
      <c r="M18" s="3"/>
      <c r="N18" s="3"/>
    </row>
    <row r="19" spans="1:14" x14ac:dyDescent="0.25">
      <c r="A19" s="2" t="s">
        <v>214</v>
      </c>
      <c r="D19" s="3"/>
      <c r="E19" s="3"/>
      <c r="F19" s="3"/>
      <c r="G19" s="3"/>
      <c r="M19" s="3"/>
      <c r="N19" s="3"/>
    </row>
    <row r="20" spans="1:14" x14ac:dyDescent="0.25">
      <c r="A20" s="2" t="s">
        <v>225</v>
      </c>
      <c r="D20" s="3"/>
      <c r="E20" s="3"/>
      <c r="F20" s="3"/>
      <c r="G20" s="3"/>
      <c r="M20" s="3"/>
      <c r="N20" s="3"/>
    </row>
    <row r="21" spans="1:14" x14ac:dyDescent="0.25">
      <c r="D21" s="3"/>
      <c r="E21" s="3"/>
      <c r="F21" s="3"/>
      <c r="G21" s="3"/>
      <c r="M21" s="3"/>
      <c r="N21" s="3"/>
    </row>
    <row r="22" spans="1:14" ht="18.75" x14ac:dyDescent="0.3">
      <c r="A22" s="100" t="s">
        <v>229</v>
      </c>
      <c r="D22" s="3"/>
      <c r="E22" s="3"/>
      <c r="F22" s="3"/>
      <c r="G22" s="3"/>
      <c r="M22" s="3"/>
      <c r="N22" s="3"/>
    </row>
    <row r="23" spans="1:14" x14ac:dyDescent="0.25">
      <c r="A23" s="2" t="s">
        <v>215</v>
      </c>
      <c r="D23" s="3"/>
      <c r="E23" s="3"/>
      <c r="F23" s="3"/>
      <c r="G23" s="3"/>
      <c r="M23" s="3"/>
      <c r="N23" s="3"/>
    </row>
    <row r="24" spans="1:14" x14ac:dyDescent="0.25">
      <c r="A24" s="2" t="s">
        <v>192</v>
      </c>
      <c r="D24" s="3"/>
      <c r="E24" s="3"/>
      <c r="F24" s="3"/>
      <c r="G24" s="3"/>
      <c r="H24" s="3"/>
      <c r="I24" s="3"/>
      <c r="J24" s="3"/>
      <c r="K24" s="3"/>
      <c r="L24" s="3"/>
      <c r="M24" s="3"/>
      <c r="N24" s="3"/>
    </row>
    <row r="25" spans="1:14" x14ac:dyDescent="0.25">
      <c r="A25" s="2" t="s">
        <v>216</v>
      </c>
      <c r="D25" s="3"/>
      <c r="E25" s="3"/>
      <c r="F25" s="3"/>
      <c r="G25" s="3"/>
      <c r="H25" s="3"/>
      <c r="I25" s="3"/>
      <c r="J25" s="3"/>
      <c r="K25" s="3"/>
      <c r="L25" s="3"/>
      <c r="M25" s="3"/>
      <c r="N25" s="3"/>
    </row>
    <row r="26" spans="1:14" x14ac:dyDescent="0.25">
      <c r="A26" s="2" t="s">
        <v>193</v>
      </c>
      <c r="D26" s="3"/>
      <c r="E26" s="3"/>
      <c r="F26" s="3"/>
      <c r="G26" s="3"/>
      <c r="H26" s="3"/>
      <c r="I26" s="3"/>
      <c r="J26" s="3"/>
      <c r="K26" s="3"/>
      <c r="L26" s="3"/>
      <c r="M26" s="3"/>
      <c r="N26" s="3"/>
    </row>
    <row r="27" spans="1:14" x14ac:dyDescent="0.25">
      <c r="D27" s="3"/>
      <c r="E27" s="3"/>
      <c r="F27" s="3"/>
      <c r="G27" s="3"/>
      <c r="H27" s="3"/>
      <c r="I27" s="3"/>
      <c r="J27" s="3"/>
      <c r="K27" s="3"/>
      <c r="L27" s="3"/>
      <c r="M27" s="3"/>
      <c r="N27" s="3"/>
    </row>
    <row r="28" spans="1:14" x14ac:dyDescent="0.25">
      <c r="D28" s="3"/>
      <c r="E28" s="3"/>
      <c r="F28" s="3"/>
      <c r="G28" s="3"/>
      <c r="H28" s="3"/>
      <c r="I28" s="3"/>
      <c r="J28" s="3"/>
      <c r="K28" s="3"/>
      <c r="L28" s="3"/>
      <c r="M28" s="3"/>
      <c r="N28" s="3"/>
    </row>
    <row r="29" spans="1:14" ht="18.75" x14ac:dyDescent="0.3">
      <c r="A29" s="100" t="s">
        <v>188</v>
      </c>
      <c r="D29" s="3"/>
      <c r="E29" s="3"/>
      <c r="F29" s="3"/>
      <c r="G29" s="3"/>
      <c r="H29" s="3"/>
      <c r="I29" s="3"/>
      <c r="J29" s="3"/>
      <c r="K29" s="3"/>
      <c r="L29" s="3"/>
      <c r="M29" s="3"/>
      <c r="N29" s="3"/>
    </row>
    <row r="30" spans="1:14" x14ac:dyDescent="0.25">
      <c r="A30" s="2" t="s">
        <v>226</v>
      </c>
      <c r="D30" s="3"/>
      <c r="E30" s="3"/>
      <c r="F30" s="3"/>
      <c r="G30" s="3"/>
      <c r="H30" s="3"/>
      <c r="I30" s="3"/>
      <c r="J30" s="3"/>
      <c r="K30" s="3"/>
      <c r="L30" s="3"/>
      <c r="M30" s="3"/>
      <c r="N30" s="3"/>
    </row>
    <row r="31" spans="1:14" x14ac:dyDescent="0.25">
      <c r="A31" s="2" t="s">
        <v>194</v>
      </c>
      <c r="D31" s="3"/>
      <c r="E31" s="3"/>
      <c r="F31" s="3"/>
      <c r="G31" s="3"/>
      <c r="H31" s="3"/>
      <c r="I31" s="3"/>
      <c r="J31" s="3"/>
      <c r="K31" s="3"/>
      <c r="L31" s="3"/>
      <c r="M31" s="3"/>
      <c r="N31" s="3"/>
    </row>
    <row r="32" spans="1:14" x14ac:dyDescent="0.25">
      <c r="A32" s="2" t="s">
        <v>195</v>
      </c>
      <c r="D32" s="3"/>
      <c r="E32" s="3"/>
      <c r="F32" s="3"/>
      <c r="G32" s="3"/>
      <c r="H32" s="3"/>
      <c r="I32" s="3"/>
      <c r="J32" s="3"/>
      <c r="K32" s="3"/>
      <c r="L32" s="3"/>
      <c r="M32" s="3"/>
      <c r="N32" s="3"/>
    </row>
    <row r="33" spans="1:14" x14ac:dyDescent="0.25">
      <c r="A33" s="2" t="s">
        <v>230</v>
      </c>
      <c r="D33" s="3"/>
      <c r="E33" s="3"/>
      <c r="F33" s="3"/>
      <c r="G33" s="3"/>
      <c r="H33" s="3"/>
      <c r="I33" s="3"/>
      <c r="J33" s="3"/>
      <c r="K33" s="3"/>
      <c r="L33" s="3"/>
      <c r="M33" s="3"/>
      <c r="N33" s="3"/>
    </row>
    <row r="34" spans="1:14" x14ac:dyDescent="0.25">
      <c r="D34" s="3"/>
      <c r="E34" s="3"/>
      <c r="F34" s="3"/>
      <c r="G34" s="3"/>
      <c r="H34" s="3"/>
      <c r="I34" s="3"/>
      <c r="J34" s="3"/>
      <c r="K34" s="3"/>
      <c r="L34" s="3"/>
      <c r="M34" s="3"/>
      <c r="N34" s="3"/>
    </row>
    <row r="35" spans="1:14" x14ac:dyDescent="0.25">
      <c r="D35" s="3"/>
      <c r="E35" s="3"/>
      <c r="F35" s="3"/>
      <c r="G35" s="3"/>
      <c r="H35" s="3"/>
      <c r="I35" s="3"/>
      <c r="J35" s="3"/>
      <c r="K35" s="3"/>
      <c r="L35" s="3"/>
      <c r="M35" s="3"/>
      <c r="N35" s="3"/>
    </row>
    <row r="36" spans="1:14" ht="18.75" x14ac:dyDescent="0.3">
      <c r="A36" s="100" t="s">
        <v>189</v>
      </c>
      <c r="D36" s="3"/>
      <c r="E36" s="3"/>
      <c r="F36" s="3"/>
      <c r="G36" s="3"/>
      <c r="H36" s="3"/>
      <c r="I36" s="3"/>
      <c r="J36" s="3"/>
      <c r="K36" s="3"/>
      <c r="L36" s="3"/>
      <c r="M36" s="3"/>
      <c r="N36" s="3"/>
    </row>
    <row r="37" spans="1:14" x14ac:dyDescent="0.25">
      <c r="A37" s="2" t="s">
        <v>196</v>
      </c>
      <c r="D37" s="3"/>
      <c r="E37" s="3"/>
      <c r="F37" s="3"/>
      <c r="G37" s="3"/>
      <c r="H37" s="3"/>
      <c r="I37" s="3"/>
      <c r="J37" s="3"/>
      <c r="K37" s="3"/>
      <c r="L37" s="3"/>
      <c r="M37" s="3"/>
      <c r="N37" s="3"/>
    </row>
    <row r="38" spans="1:14" x14ac:dyDescent="0.25">
      <c r="A38" s="2" t="s">
        <v>232</v>
      </c>
      <c r="D38" s="3"/>
      <c r="E38" s="3"/>
      <c r="F38" s="3"/>
      <c r="G38" s="3"/>
      <c r="H38" s="3"/>
      <c r="I38" s="3"/>
      <c r="J38" s="3"/>
      <c r="K38" s="3"/>
      <c r="L38" s="3"/>
      <c r="M38" s="3"/>
      <c r="N38" s="3"/>
    </row>
  </sheetData>
  <sheetProtection algorithmName="SHA-512" hashValue="zvVMJ8P7j+PqNkFORzxVIs2ccj3UDd15TJjd6AptB/Q+bwAnwAFhBuEA+qy8yRk7L95I+x782b77EOwNiFvdAA==" saltValue="q0QFOZRIj7bcH5LAU/BmsQ==" spinCount="100000" sheet="1" objects="1" scenarios="1"/>
  <mergeCells count="4">
    <mergeCell ref="A4:L7"/>
    <mergeCell ref="A2:K2"/>
    <mergeCell ref="A1:D1"/>
    <mergeCell ref="I1:K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N93"/>
  <sheetViews>
    <sheetView zoomScale="85" zoomScaleNormal="85" workbookViewId="0">
      <selection activeCell="J32" sqref="J32"/>
    </sheetView>
  </sheetViews>
  <sheetFormatPr defaultColWidth="8.85546875" defaultRowHeight="15" x14ac:dyDescent="0.25"/>
  <cols>
    <col min="1" max="1" width="6.7109375" style="128" customWidth="1"/>
    <col min="2" max="2" width="7.28515625" style="128" customWidth="1"/>
    <col min="3" max="3" width="20.7109375" style="128" customWidth="1"/>
    <col min="4" max="4" width="8.85546875" style="211"/>
    <col min="5" max="5" width="8.85546875" style="128"/>
    <col min="6" max="6" width="15" style="211" customWidth="1"/>
    <col min="7" max="7" width="17" style="211" customWidth="1"/>
    <col min="8" max="8" width="17.28515625" style="211" customWidth="1"/>
    <col min="9" max="10" width="13.7109375" style="128" customWidth="1"/>
    <col min="11" max="11" width="6.140625" style="128" customWidth="1"/>
    <col min="12" max="12" width="17.28515625" style="8" customWidth="1"/>
    <col min="13" max="14" width="11.5703125" style="8" customWidth="1"/>
    <col min="15" max="26" width="8.85546875" style="8"/>
    <col min="27" max="27" width="21.28515625" style="8" customWidth="1"/>
    <col min="28" max="30" width="13.28515625" style="8" customWidth="1"/>
    <col min="31" max="31" width="15.85546875" style="8" customWidth="1"/>
    <col min="32" max="33" width="8.85546875" style="8"/>
    <col min="34" max="34" width="17.5703125" style="8" customWidth="1"/>
    <col min="35" max="36" width="8.85546875" style="8"/>
    <col min="37" max="37" width="12" style="8" customWidth="1"/>
    <col min="38" max="40" width="8.85546875" style="8"/>
    <col min="41" max="16384" width="8.85546875" style="212"/>
  </cols>
  <sheetData>
    <row r="1" spans="1:38" s="8" customFormat="1" ht="18" x14ac:dyDescent="0.25">
      <c r="A1" s="127" t="s">
        <v>184</v>
      </c>
      <c r="B1" s="128"/>
      <c r="C1" s="128"/>
      <c r="D1" s="128"/>
      <c r="E1" s="128"/>
      <c r="F1" s="128"/>
      <c r="G1" s="128"/>
      <c r="H1" s="128"/>
      <c r="I1" s="128"/>
      <c r="J1" s="128"/>
      <c r="K1" s="128"/>
    </row>
    <row r="2" spans="1:38" s="8" customFormat="1" x14ac:dyDescent="0.25">
      <c r="B2" s="128"/>
      <c r="C2" s="128"/>
      <c r="D2" s="128"/>
      <c r="E2" s="128"/>
      <c r="F2" s="128"/>
      <c r="G2" s="128"/>
      <c r="H2" s="128"/>
      <c r="I2" s="128"/>
      <c r="J2" s="128"/>
      <c r="K2" s="128"/>
    </row>
    <row r="3" spans="1:38" s="8" customFormat="1" ht="18.75" x14ac:dyDescent="0.3">
      <c r="A3" s="129" t="s">
        <v>25</v>
      </c>
      <c r="B3" s="130" t="s">
        <v>26</v>
      </c>
      <c r="C3" s="131" t="s">
        <v>151</v>
      </c>
      <c r="D3" s="131" t="s">
        <v>19</v>
      </c>
      <c r="E3" s="131" t="s">
        <v>80</v>
      </c>
      <c r="F3" s="221" t="s">
        <v>235</v>
      </c>
      <c r="G3" s="132" t="s">
        <v>30</v>
      </c>
      <c r="H3" s="133" t="s">
        <v>29</v>
      </c>
      <c r="I3" s="6" t="s">
        <v>67</v>
      </c>
      <c r="J3" s="128"/>
      <c r="K3" s="7"/>
      <c r="L3" s="9" t="s">
        <v>32</v>
      </c>
      <c r="M3" s="9" t="s">
        <v>98</v>
      </c>
      <c r="N3" s="9"/>
      <c r="Q3" s="30" t="s">
        <v>112</v>
      </c>
    </row>
    <row r="4" spans="1:38" x14ac:dyDescent="0.25">
      <c r="A4" s="187">
        <v>1</v>
      </c>
      <c r="B4" s="188">
        <v>1</v>
      </c>
      <c r="C4" s="189" t="s">
        <v>14</v>
      </c>
      <c r="D4" s="190"/>
      <c r="E4" s="216"/>
      <c r="F4" s="216"/>
      <c r="G4" s="219"/>
      <c r="H4" s="219"/>
      <c r="I4" s="10" t="e">
        <f>IF(OR(G4="undetermined",G4&gt;M$22),1,0)</f>
        <v>#DIV/0!</v>
      </c>
      <c r="K4" s="11"/>
      <c r="L4" s="16" t="s">
        <v>78</v>
      </c>
      <c r="M4" s="17" t="e">
        <f>AVERAGE(H4:H9)</f>
        <v>#DIV/0!</v>
      </c>
      <c r="N4" s="57"/>
      <c r="P4" s="31" t="s">
        <v>78</v>
      </c>
      <c r="Q4" s="32" t="s">
        <v>115</v>
      </c>
      <c r="AE4" s="12"/>
      <c r="AF4" s="12"/>
      <c r="AG4" s="13"/>
      <c r="AH4" s="14"/>
      <c r="AI4" s="15"/>
      <c r="AJ4" s="15"/>
      <c r="AK4" s="15"/>
      <c r="AL4" s="15"/>
    </row>
    <row r="5" spans="1:38" x14ac:dyDescent="0.25">
      <c r="A5" s="187">
        <v>1</v>
      </c>
      <c r="B5" s="188">
        <v>1</v>
      </c>
      <c r="C5" s="189" t="s">
        <v>14</v>
      </c>
      <c r="D5" s="92"/>
      <c r="E5" s="216"/>
      <c r="F5" s="216" t="s">
        <v>18</v>
      </c>
      <c r="G5" s="219"/>
      <c r="H5" s="219"/>
      <c r="I5" s="10" t="e">
        <f t="shared" ref="I5:I9" si="0">IF(OR(G5="undetermined",G5&gt;M$22),1,0)</f>
        <v>#DIV/0!</v>
      </c>
      <c r="K5" s="11"/>
      <c r="L5" s="16" t="s">
        <v>79</v>
      </c>
      <c r="M5" s="17" t="e">
        <f>STDEV(H4:H9)</f>
        <v>#DIV/0!</v>
      </c>
      <c r="N5" s="57"/>
      <c r="P5" s="31" t="s">
        <v>79</v>
      </c>
      <c r="Q5" s="32" t="s">
        <v>116</v>
      </c>
      <c r="AE5" s="12"/>
      <c r="AF5" s="12"/>
      <c r="AG5" s="13"/>
      <c r="AH5" s="14"/>
      <c r="AI5" s="15"/>
      <c r="AJ5" s="15"/>
      <c r="AK5" s="15"/>
      <c r="AL5" s="15"/>
    </row>
    <row r="6" spans="1:38" x14ac:dyDescent="0.25">
      <c r="A6" s="187">
        <v>1</v>
      </c>
      <c r="B6" s="188">
        <v>1</v>
      </c>
      <c r="C6" s="189" t="s">
        <v>14</v>
      </c>
      <c r="D6" s="92"/>
      <c r="E6" s="216"/>
      <c r="F6" s="216" t="s">
        <v>18</v>
      </c>
      <c r="G6" s="219"/>
      <c r="H6" s="219"/>
      <c r="I6" s="10" t="e">
        <f t="shared" si="0"/>
        <v>#DIV/0!</v>
      </c>
      <c r="K6" s="11"/>
      <c r="L6" s="16" t="s">
        <v>68</v>
      </c>
      <c r="M6" s="18" t="e">
        <f>IF(SUM(I4:I9)=6,"pass","fail")</f>
        <v>#DIV/0!</v>
      </c>
      <c r="N6" s="172"/>
      <c r="P6" s="31" t="s">
        <v>68</v>
      </c>
      <c r="Q6" s="32" t="s">
        <v>117</v>
      </c>
      <c r="AE6" s="12"/>
      <c r="AF6" s="12"/>
      <c r="AG6" s="13"/>
      <c r="AH6" s="14"/>
      <c r="AI6" s="15"/>
      <c r="AJ6" s="15"/>
      <c r="AK6" s="15"/>
      <c r="AL6" s="15"/>
    </row>
    <row r="7" spans="1:38" x14ac:dyDescent="0.25">
      <c r="A7" s="187">
        <v>1</v>
      </c>
      <c r="B7" s="188">
        <v>1</v>
      </c>
      <c r="C7" s="189" t="s">
        <v>14</v>
      </c>
      <c r="D7" s="92"/>
      <c r="E7" s="216"/>
      <c r="F7" s="216" t="s">
        <v>18</v>
      </c>
      <c r="G7" s="219"/>
      <c r="H7" s="219"/>
      <c r="I7" s="10" t="e">
        <f t="shared" si="0"/>
        <v>#DIV/0!</v>
      </c>
      <c r="K7" s="11"/>
      <c r="L7" s="19" t="s">
        <v>64</v>
      </c>
      <c r="M7" s="17" t="e">
        <f>SLOPE(AF10:AF24,AE10:AE24)</f>
        <v>#DIV/0!</v>
      </c>
      <c r="N7" s="57"/>
      <c r="P7" s="31" t="s">
        <v>64</v>
      </c>
      <c r="Q7" s="32" t="s">
        <v>118</v>
      </c>
      <c r="AE7" s="12"/>
      <c r="AF7" s="12"/>
      <c r="AG7" s="13"/>
      <c r="AH7" s="14"/>
      <c r="AI7" s="15"/>
      <c r="AJ7" s="15"/>
      <c r="AK7" s="15"/>
      <c r="AL7" s="15"/>
    </row>
    <row r="8" spans="1:38" ht="15.75" x14ac:dyDescent="0.25">
      <c r="A8" s="187">
        <v>1</v>
      </c>
      <c r="B8" s="188">
        <v>1</v>
      </c>
      <c r="C8" s="189" t="s">
        <v>14</v>
      </c>
      <c r="D8" s="92"/>
      <c r="E8" s="216"/>
      <c r="F8" s="216" t="s">
        <v>18</v>
      </c>
      <c r="G8" s="219"/>
      <c r="H8" s="219"/>
      <c r="I8" s="10" t="e">
        <f t="shared" si="0"/>
        <v>#DIV/0!</v>
      </c>
      <c r="K8" s="11"/>
      <c r="L8" s="20" t="s">
        <v>77</v>
      </c>
      <c r="M8" s="17" t="e">
        <f>SQRT((SUMSQ(AG10:AG24)/(COUNT(AG10:AG24)-2))/DEVSQ(AE10:AE24))</f>
        <v>#DIV/0!</v>
      </c>
      <c r="N8" s="57"/>
      <c r="P8" s="31" t="s">
        <v>77</v>
      </c>
      <c r="Q8" s="32" t="s">
        <v>120</v>
      </c>
      <c r="X8" s="154" t="s">
        <v>202</v>
      </c>
      <c r="AE8" s="155" t="s">
        <v>203</v>
      </c>
      <c r="AF8" s="12"/>
      <c r="AG8" s="13"/>
      <c r="AH8" s="14"/>
      <c r="AI8" s="15"/>
      <c r="AJ8" s="15"/>
      <c r="AK8" s="15"/>
      <c r="AL8" s="15"/>
    </row>
    <row r="9" spans="1:38" x14ac:dyDescent="0.25">
      <c r="A9" s="187">
        <v>1</v>
      </c>
      <c r="B9" s="188">
        <v>1</v>
      </c>
      <c r="C9" s="189" t="s">
        <v>14</v>
      </c>
      <c r="D9" s="92"/>
      <c r="E9" s="216"/>
      <c r="F9" s="216" t="s">
        <v>18</v>
      </c>
      <c r="G9" s="219"/>
      <c r="H9" s="219"/>
      <c r="I9" s="180" t="e">
        <f t="shared" si="0"/>
        <v>#DIV/0!</v>
      </c>
      <c r="K9" s="11"/>
      <c r="L9" s="20" t="s">
        <v>76</v>
      </c>
      <c r="M9" s="17" t="e">
        <f>M7- TINV(0.05,COUNT(AG10:AG24)-2)*M8</f>
        <v>#DIV/0!</v>
      </c>
      <c r="N9" s="57"/>
      <c r="P9" s="31" t="s">
        <v>76</v>
      </c>
      <c r="Q9" s="32" t="s">
        <v>121</v>
      </c>
      <c r="X9" s="9" t="s">
        <v>7</v>
      </c>
      <c r="Y9" s="9" t="s">
        <v>8</v>
      </c>
      <c r="Z9" s="9" t="s">
        <v>9</v>
      </c>
      <c r="AA9" s="9" t="s">
        <v>10</v>
      </c>
      <c r="AB9" s="9" t="s">
        <v>11</v>
      </c>
      <c r="AC9" s="9" t="s">
        <v>12</v>
      </c>
      <c r="AE9" s="12" t="s">
        <v>13</v>
      </c>
      <c r="AF9" s="12" t="s">
        <v>30</v>
      </c>
      <c r="AG9" s="9" t="s">
        <v>8</v>
      </c>
      <c r="AH9" s="21" t="s">
        <v>101</v>
      </c>
      <c r="AI9" s="22" t="s">
        <v>15</v>
      </c>
      <c r="AJ9" s="22" t="s">
        <v>17</v>
      </c>
      <c r="AK9" s="22" t="s">
        <v>21</v>
      </c>
      <c r="AL9" s="22" t="s">
        <v>22</v>
      </c>
    </row>
    <row r="10" spans="1:38" x14ac:dyDescent="0.25">
      <c r="A10" s="187">
        <v>1</v>
      </c>
      <c r="B10" s="188">
        <v>1</v>
      </c>
      <c r="C10" s="191" t="s">
        <v>233</v>
      </c>
      <c r="D10" s="92"/>
      <c r="E10" s="219"/>
      <c r="F10" s="218" t="str">
        <f>IF(E10&lt;8,"#NUM!",LOG10(E10))</f>
        <v>#NUM!</v>
      </c>
      <c r="G10" s="219"/>
      <c r="H10" s="219"/>
      <c r="I10" s="23"/>
      <c r="K10" s="23"/>
      <c r="L10" s="20" t="s">
        <v>75</v>
      </c>
      <c r="M10" s="17" t="e">
        <f>M7 + TINV(0.05,COUNT(AG10:AG24)-2)*M8</f>
        <v>#DIV/0!</v>
      </c>
      <c r="N10" s="57"/>
      <c r="P10" s="31" t="s">
        <v>75</v>
      </c>
      <c r="Q10" s="32" t="s">
        <v>122</v>
      </c>
      <c r="X10" s="17" t="e">
        <f t="shared" ref="X10:X24" si="1" xml:space="preserve"> IF(G10="undetermined"," ",1- ( (1/COUNT(F$10:F$24)) + ((F10-AVERAGE(F$10:F$24))^2/DEVSQ(F$10:F$24))))</f>
        <v>#DIV/0!</v>
      </c>
      <c r="Y10" s="24" t="e">
        <f t="shared" ref="Y10:Y24" si="2">IF(X10=" "," ",G10-(INTERCEPT(G$10:G$24,F$10:F$24) + SLOPE(G$10:G$24,F$10:F$24)*F10))</f>
        <v>#DIV/0!</v>
      </c>
      <c r="Z10" s="17" t="e">
        <f t="shared" ref="Z10:Z24" si="3">IF(Y10=" "," ",DEVSQ(Y$10:Y$24) -(Y10^2/X10))</f>
        <v>#DIV/0!</v>
      </c>
      <c r="AA10" s="17" t="e">
        <f t="shared" ref="AA10:AA24" si="4">IF(Z10=" "," ",SQRT(Z10/(COUNT(G$10:G$24)-3)))</f>
        <v>#DIV/0!</v>
      </c>
      <c r="AB10" s="17" t="e">
        <f t="shared" ref="AB10:AB24" si="5">IF(AA10=" ", " ",Y10/(AA10*SQRT(X10)))</f>
        <v>#DIV/0!</v>
      </c>
      <c r="AC10" s="18" t="e">
        <f>IF(AB10=" "," ",IF(ABS(AB10)&gt;3,"Yes","No"))</f>
        <v>#DIV/0!</v>
      </c>
      <c r="AD10" s="25"/>
      <c r="AE10" s="18" t="e">
        <f t="shared" ref="AE10:AE24" si="6">IF(AC10="No",F10," ")</f>
        <v>#DIV/0!</v>
      </c>
      <c r="AF10" s="17" t="e">
        <f t="shared" ref="AF10:AF24" si="7">IF(AC10="No",G10," ")</f>
        <v>#DIV/0!</v>
      </c>
      <c r="AG10" s="24" t="e">
        <f t="shared" ref="AG10:AG24" si="8">IF(AF10=" "," ",AF10-(INTERCEPT(AF$10:AF$24,AE$10:AE$24) + SLOPE(AF$10:AF$24,AE$10:AE$24)*AE10))</f>
        <v>#DIV/0!</v>
      </c>
      <c r="AH10" s="18" t="e">
        <f t="shared" ref="AH10:AH24" si="9">IF(OR(H10&lt;(M$4-3*M$5),H10&gt;(M$4+3*M$5),H10="undetermined"),0,1)</f>
        <v>#DIV/0!</v>
      </c>
      <c r="AI10" s="26" t="e">
        <f>SUM(AH10:AH12)</f>
        <v>#DIV/0!</v>
      </c>
      <c r="AJ10" s="26" t="e">
        <f t="shared" ref="AJ10:AJ24" si="10">IF(H10&lt;$M$18,"pass",IF(OR(AF10&gt;$M$17,AF10=40),"fail","fail"))</f>
        <v>#DIV/0!</v>
      </c>
      <c r="AK10" s="24" t="e">
        <f>IF(AI10&lt;=1,$F10,"")</f>
        <v>#DIV/0!</v>
      </c>
      <c r="AL10" s="217" t="e">
        <f>IF(AI10&gt;1,$F10,"")</f>
        <v>#DIV/0!</v>
      </c>
    </row>
    <row r="11" spans="1:38" x14ac:dyDescent="0.25">
      <c r="A11" s="187">
        <v>1</v>
      </c>
      <c r="B11" s="188">
        <v>1</v>
      </c>
      <c r="C11" s="191" t="s">
        <v>233</v>
      </c>
      <c r="D11" s="92"/>
      <c r="E11" s="219"/>
      <c r="F11" s="218" t="str">
        <f t="shared" ref="F11:F24" si="11">IF(E11&lt;8,"#NUM!",LOG10(E11))</f>
        <v>#NUM!</v>
      </c>
      <c r="G11" s="219"/>
      <c r="H11" s="219"/>
      <c r="I11" s="23"/>
      <c r="K11" s="23"/>
      <c r="L11" s="19" t="s">
        <v>65</v>
      </c>
      <c r="M11" s="17" t="e">
        <f>INTERCEPT(AF10:AF24,AE10:AE24)</f>
        <v>#DIV/0!</v>
      </c>
      <c r="N11" s="57"/>
      <c r="P11" s="31" t="s">
        <v>65</v>
      </c>
      <c r="Q11" s="32" t="s">
        <v>119</v>
      </c>
      <c r="X11" s="17" t="e">
        <f t="shared" si="1"/>
        <v>#DIV/0!</v>
      </c>
      <c r="Y11" s="24" t="e">
        <f t="shared" si="2"/>
        <v>#DIV/0!</v>
      </c>
      <c r="Z11" s="17" t="e">
        <f t="shared" si="3"/>
        <v>#DIV/0!</v>
      </c>
      <c r="AA11" s="17" t="e">
        <f t="shared" si="4"/>
        <v>#DIV/0!</v>
      </c>
      <c r="AB11" s="17" t="e">
        <f t="shared" si="5"/>
        <v>#DIV/0!</v>
      </c>
      <c r="AC11" s="18" t="e">
        <f>IF(AB11=" "," ",IF(ABS(AB11)&gt;3,"Yes","No"))</f>
        <v>#DIV/0!</v>
      </c>
      <c r="AD11" s="25"/>
      <c r="AE11" s="18" t="e">
        <f t="shared" si="6"/>
        <v>#DIV/0!</v>
      </c>
      <c r="AF11" s="17" t="e">
        <f t="shared" si="7"/>
        <v>#DIV/0!</v>
      </c>
      <c r="AG11" s="24" t="e">
        <f t="shared" si="8"/>
        <v>#DIV/0!</v>
      </c>
      <c r="AH11" s="18" t="e">
        <f t="shared" si="9"/>
        <v>#DIV/0!</v>
      </c>
      <c r="AI11" s="18"/>
      <c r="AJ11" s="26" t="e">
        <f t="shared" si="10"/>
        <v>#DIV/0!</v>
      </c>
      <c r="AK11" s="121"/>
      <c r="AL11" s="121"/>
    </row>
    <row r="12" spans="1:38" x14ac:dyDescent="0.25">
      <c r="A12" s="187">
        <v>1</v>
      </c>
      <c r="B12" s="188">
        <v>1</v>
      </c>
      <c r="C12" s="191" t="s">
        <v>233</v>
      </c>
      <c r="D12" s="92"/>
      <c r="E12" s="219"/>
      <c r="F12" s="218" t="str">
        <f t="shared" si="11"/>
        <v>#NUM!</v>
      </c>
      <c r="G12" s="219"/>
      <c r="H12" s="219"/>
      <c r="I12" s="23"/>
      <c r="K12" s="23"/>
      <c r="L12" s="16" t="s">
        <v>74</v>
      </c>
      <c r="M12" s="17" t="e">
        <f>SQRT((SUMSQ(AG10:AG24)/(COUNT(AG10:AG24)-2))*((1/COUNT(AG10:AG24))+(AVERAGE(AE10:AE24)^2/DEVSQ(AE10:AE24))))</f>
        <v>#DIV/0!</v>
      </c>
      <c r="N12" s="57"/>
      <c r="P12" s="31" t="s">
        <v>74</v>
      </c>
      <c r="Q12" s="32" t="s">
        <v>123</v>
      </c>
      <c r="X12" s="17" t="e">
        <f t="shared" si="1"/>
        <v>#DIV/0!</v>
      </c>
      <c r="Y12" s="24" t="e">
        <f t="shared" si="2"/>
        <v>#DIV/0!</v>
      </c>
      <c r="Z12" s="17" t="e">
        <f t="shared" si="3"/>
        <v>#DIV/0!</v>
      </c>
      <c r="AA12" s="17" t="e">
        <f t="shared" si="4"/>
        <v>#DIV/0!</v>
      </c>
      <c r="AB12" s="17" t="e">
        <f t="shared" si="5"/>
        <v>#DIV/0!</v>
      </c>
      <c r="AC12" s="18" t="e">
        <f t="shared" ref="AC12:AC24" si="12">IF(AB12=" "," ",IF(ABS(AB12)&gt;3,"Yes","No"))</f>
        <v>#DIV/0!</v>
      </c>
      <c r="AD12" s="25"/>
      <c r="AE12" s="18" t="e">
        <f t="shared" si="6"/>
        <v>#DIV/0!</v>
      </c>
      <c r="AF12" s="17" t="e">
        <f t="shared" si="7"/>
        <v>#DIV/0!</v>
      </c>
      <c r="AG12" s="24" t="e">
        <f t="shared" si="8"/>
        <v>#DIV/0!</v>
      </c>
      <c r="AH12" s="18" t="e">
        <f t="shared" si="9"/>
        <v>#DIV/0!</v>
      </c>
      <c r="AI12" s="18"/>
      <c r="AJ12" s="26" t="e">
        <f t="shared" si="10"/>
        <v>#DIV/0!</v>
      </c>
      <c r="AK12" s="121"/>
      <c r="AL12" s="121"/>
    </row>
    <row r="13" spans="1:38" x14ac:dyDescent="0.25">
      <c r="A13" s="187">
        <v>1</v>
      </c>
      <c r="B13" s="188">
        <v>1</v>
      </c>
      <c r="C13" s="191" t="s">
        <v>234</v>
      </c>
      <c r="D13" s="92"/>
      <c r="E13" s="219"/>
      <c r="F13" s="218" t="str">
        <f t="shared" si="11"/>
        <v>#NUM!</v>
      </c>
      <c r="G13" s="219"/>
      <c r="H13" s="219"/>
      <c r="I13" s="23"/>
      <c r="K13" s="23"/>
      <c r="L13" s="20" t="s">
        <v>73</v>
      </c>
      <c r="M13" s="17" t="e">
        <f>M11- TINV(0.05,COUNT(AG10:AG24)-2)*M12</f>
        <v>#DIV/0!</v>
      </c>
      <c r="N13" s="57"/>
      <c r="P13" s="31" t="s">
        <v>73</v>
      </c>
      <c r="Q13" s="32" t="s">
        <v>124</v>
      </c>
      <c r="X13" s="17" t="e">
        <f t="shared" si="1"/>
        <v>#DIV/0!</v>
      </c>
      <c r="Y13" s="24" t="e">
        <f t="shared" si="2"/>
        <v>#DIV/0!</v>
      </c>
      <c r="Z13" s="17" t="e">
        <f t="shared" si="3"/>
        <v>#DIV/0!</v>
      </c>
      <c r="AA13" s="17" t="e">
        <f t="shared" si="4"/>
        <v>#DIV/0!</v>
      </c>
      <c r="AB13" s="17" t="e">
        <f t="shared" si="5"/>
        <v>#DIV/0!</v>
      </c>
      <c r="AC13" s="18" t="e">
        <f t="shared" si="12"/>
        <v>#DIV/0!</v>
      </c>
      <c r="AD13" s="25"/>
      <c r="AE13" s="18" t="e">
        <f t="shared" si="6"/>
        <v>#DIV/0!</v>
      </c>
      <c r="AF13" s="17" t="e">
        <f t="shared" si="7"/>
        <v>#DIV/0!</v>
      </c>
      <c r="AG13" s="24" t="e">
        <f t="shared" si="8"/>
        <v>#DIV/0!</v>
      </c>
      <c r="AH13" s="18" t="e">
        <f t="shared" si="9"/>
        <v>#DIV/0!</v>
      </c>
      <c r="AI13" s="26" t="e">
        <f>SUM(AH13:AH15)</f>
        <v>#DIV/0!</v>
      </c>
      <c r="AJ13" s="26" t="e">
        <f t="shared" si="10"/>
        <v>#DIV/0!</v>
      </c>
      <c r="AK13" s="217" t="e">
        <f>IF(AI13&lt;=1,$F13,"")</f>
        <v>#DIV/0!</v>
      </c>
      <c r="AL13" s="217" t="e">
        <f>IF(AI13&gt;1,$F13,"")</f>
        <v>#DIV/0!</v>
      </c>
    </row>
    <row r="14" spans="1:38" x14ac:dyDescent="0.25">
      <c r="A14" s="187">
        <v>1</v>
      </c>
      <c r="B14" s="188">
        <v>1</v>
      </c>
      <c r="C14" s="191" t="s">
        <v>234</v>
      </c>
      <c r="D14" s="92"/>
      <c r="E14" s="219"/>
      <c r="F14" s="218" t="str">
        <f t="shared" si="11"/>
        <v>#NUM!</v>
      </c>
      <c r="G14" s="219"/>
      <c r="H14" s="219"/>
      <c r="I14" s="23"/>
      <c r="K14" s="23"/>
      <c r="L14" s="20" t="s">
        <v>72</v>
      </c>
      <c r="M14" s="17" t="e">
        <f>M11 + TINV(0.05,COUNT(AG10:AG24)-2)*M12</f>
        <v>#DIV/0!</v>
      </c>
      <c r="N14" s="57"/>
      <c r="P14" s="31" t="s">
        <v>72</v>
      </c>
      <c r="Q14" s="32" t="s">
        <v>125</v>
      </c>
      <c r="X14" s="17" t="e">
        <f t="shared" si="1"/>
        <v>#DIV/0!</v>
      </c>
      <c r="Y14" s="24" t="e">
        <f t="shared" si="2"/>
        <v>#DIV/0!</v>
      </c>
      <c r="Z14" s="17" t="e">
        <f t="shared" si="3"/>
        <v>#DIV/0!</v>
      </c>
      <c r="AA14" s="17" t="e">
        <f t="shared" si="4"/>
        <v>#DIV/0!</v>
      </c>
      <c r="AB14" s="17" t="e">
        <f t="shared" si="5"/>
        <v>#DIV/0!</v>
      </c>
      <c r="AC14" s="18" t="e">
        <f t="shared" si="12"/>
        <v>#DIV/0!</v>
      </c>
      <c r="AD14" s="25"/>
      <c r="AE14" s="18" t="e">
        <f t="shared" si="6"/>
        <v>#DIV/0!</v>
      </c>
      <c r="AF14" s="17" t="e">
        <f t="shared" si="7"/>
        <v>#DIV/0!</v>
      </c>
      <c r="AG14" s="24" t="e">
        <f t="shared" si="8"/>
        <v>#DIV/0!</v>
      </c>
      <c r="AH14" s="18" t="e">
        <f t="shared" si="9"/>
        <v>#DIV/0!</v>
      </c>
      <c r="AI14" s="18"/>
      <c r="AJ14" s="26" t="e">
        <f t="shared" si="10"/>
        <v>#DIV/0!</v>
      </c>
      <c r="AK14" s="121"/>
      <c r="AL14" s="121"/>
    </row>
    <row r="15" spans="1:38" ht="17.25" x14ac:dyDescent="0.25">
      <c r="A15" s="187">
        <v>1</v>
      </c>
      <c r="B15" s="188">
        <v>1</v>
      </c>
      <c r="C15" s="191" t="s">
        <v>234</v>
      </c>
      <c r="D15" s="92"/>
      <c r="E15" s="219"/>
      <c r="F15" s="218" t="str">
        <f t="shared" si="11"/>
        <v>#NUM!</v>
      </c>
      <c r="G15" s="219"/>
      <c r="H15" s="219"/>
      <c r="I15" s="23"/>
      <c r="K15" s="23"/>
      <c r="L15" s="19" t="s">
        <v>59</v>
      </c>
      <c r="M15" s="121" t="e">
        <f>1-(SUMSQ(AG10:AG24)/DEVSQ(AF10:AF24))</f>
        <v>#DIV/0!</v>
      </c>
      <c r="N15" s="57"/>
      <c r="P15" s="31" t="s">
        <v>138</v>
      </c>
      <c r="Q15" s="32" t="s">
        <v>126</v>
      </c>
      <c r="X15" s="17" t="e">
        <f t="shared" si="1"/>
        <v>#DIV/0!</v>
      </c>
      <c r="Y15" s="24" t="e">
        <f t="shared" si="2"/>
        <v>#DIV/0!</v>
      </c>
      <c r="Z15" s="17" t="e">
        <f t="shared" si="3"/>
        <v>#DIV/0!</v>
      </c>
      <c r="AA15" s="17" t="e">
        <f t="shared" si="4"/>
        <v>#DIV/0!</v>
      </c>
      <c r="AB15" s="17" t="e">
        <f t="shared" si="5"/>
        <v>#DIV/0!</v>
      </c>
      <c r="AC15" s="18" t="e">
        <f t="shared" si="12"/>
        <v>#DIV/0!</v>
      </c>
      <c r="AD15" s="25"/>
      <c r="AE15" s="18" t="e">
        <f t="shared" si="6"/>
        <v>#DIV/0!</v>
      </c>
      <c r="AF15" s="17" t="e">
        <f t="shared" si="7"/>
        <v>#DIV/0!</v>
      </c>
      <c r="AG15" s="24" t="e">
        <f t="shared" si="8"/>
        <v>#DIV/0!</v>
      </c>
      <c r="AH15" s="18" t="e">
        <f t="shared" si="9"/>
        <v>#DIV/0!</v>
      </c>
      <c r="AI15" s="18"/>
      <c r="AJ15" s="26" t="e">
        <f t="shared" si="10"/>
        <v>#DIV/0!</v>
      </c>
      <c r="AK15" s="121"/>
      <c r="AL15" s="121"/>
    </row>
    <row r="16" spans="1:38" x14ac:dyDescent="0.25">
      <c r="A16" s="187">
        <v>1</v>
      </c>
      <c r="B16" s="188">
        <v>1</v>
      </c>
      <c r="C16" s="191" t="s">
        <v>240</v>
      </c>
      <c r="D16" s="92"/>
      <c r="E16" s="219"/>
      <c r="F16" s="218" t="str">
        <f t="shared" si="11"/>
        <v>#NUM!</v>
      </c>
      <c r="G16" s="219"/>
      <c r="H16" s="219"/>
      <c r="I16" s="23"/>
      <c r="K16" s="23"/>
      <c r="L16" s="19" t="s">
        <v>16</v>
      </c>
      <c r="M16" s="121" t="e">
        <f>IF(AND((MIN(AK10:AK24)&lt;MAX(AL10:AL24)),(MIN(AK10:AK24)&gt;0)),MIN(AK10:AK24)-1,MAX(AL10:AL24))</f>
        <v>#DIV/0!</v>
      </c>
      <c r="N16" s="172"/>
      <c r="P16" s="31" t="s">
        <v>69</v>
      </c>
      <c r="Q16" s="32" t="s">
        <v>127</v>
      </c>
      <c r="X16" s="17" t="e">
        <f t="shared" si="1"/>
        <v>#DIV/0!</v>
      </c>
      <c r="Y16" s="24" t="e">
        <f t="shared" si="2"/>
        <v>#DIV/0!</v>
      </c>
      <c r="Z16" s="17" t="e">
        <f t="shared" si="3"/>
        <v>#DIV/0!</v>
      </c>
      <c r="AA16" s="17" t="e">
        <f t="shared" si="4"/>
        <v>#DIV/0!</v>
      </c>
      <c r="AB16" s="17" t="e">
        <f t="shared" si="5"/>
        <v>#DIV/0!</v>
      </c>
      <c r="AC16" s="18" t="e">
        <f t="shared" si="12"/>
        <v>#DIV/0!</v>
      </c>
      <c r="AD16" s="25"/>
      <c r="AE16" s="18" t="e">
        <f t="shared" si="6"/>
        <v>#DIV/0!</v>
      </c>
      <c r="AF16" s="17" t="e">
        <f t="shared" si="7"/>
        <v>#DIV/0!</v>
      </c>
      <c r="AG16" s="24" t="e">
        <f t="shared" si="8"/>
        <v>#DIV/0!</v>
      </c>
      <c r="AH16" s="18" t="e">
        <f t="shared" si="9"/>
        <v>#DIV/0!</v>
      </c>
      <c r="AI16" s="26" t="e">
        <f>SUM(AH16:AH18)</f>
        <v>#DIV/0!</v>
      </c>
      <c r="AJ16" s="26" t="e">
        <f t="shared" si="10"/>
        <v>#DIV/0!</v>
      </c>
      <c r="AK16" s="217" t="e">
        <f>IF(AI16&lt;=1,$F16,"")</f>
        <v>#DIV/0!</v>
      </c>
      <c r="AL16" s="217" t="e">
        <f>IF(AI16&gt;1,$F16,"")</f>
        <v>#DIV/0!</v>
      </c>
    </row>
    <row r="17" spans="1:38" x14ac:dyDescent="0.25">
      <c r="A17" s="187">
        <v>1</v>
      </c>
      <c r="B17" s="188">
        <v>1</v>
      </c>
      <c r="C17" s="191" t="s">
        <v>240</v>
      </c>
      <c r="D17" s="92"/>
      <c r="E17" s="219"/>
      <c r="F17" s="218" t="str">
        <f t="shared" si="11"/>
        <v>#NUM!</v>
      </c>
      <c r="G17" s="219"/>
      <c r="H17" s="219"/>
      <c r="I17" s="23"/>
      <c r="K17" s="23"/>
      <c r="L17" s="19" t="s">
        <v>69</v>
      </c>
      <c r="M17" s="17" t="e">
        <f>M7*M16+M11</f>
        <v>#DIV/0!</v>
      </c>
      <c r="N17" s="57"/>
      <c r="P17" s="31" t="s">
        <v>70</v>
      </c>
      <c r="Q17" s="32" t="s">
        <v>128</v>
      </c>
      <c r="X17" s="17" t="e">
        <f t="shared" si="1"/>
        <v>#DIV/0!</v>
      </c>
      <c r="Y17" s="24" t="e">
        <f t="shared" si="2"/>
        <v>#DIV/0!</v>
      </c>
      <c r="Z17" s="17" t="e">
        <f t="shared" si="3"/>
        <v>#DIV/0!</v>
      </c>
      <c r="AA17" s="17" t="e">
        <f t="shared" si="4"/>
        <v>#DIV/0!</v>
      </c>
      <c r="AB17" s="17" t="e">
        <f t="shared" si="5"/>
        <v>#DIV/0!</v>
      </c>
      <c r="AC17" s="18" t="e">
        <f t="shared" si="12"/>
        <v>#DIV/0!</v>
      </c>
      <c r="AD17" s="25"/>
      <c r="AE17" s="18" t="e">
        <f t="shared" si="6"/>
        <v>#DIV/0!</v>
      </c>
      <c r="AF17" s="17" t="e">
        <f t="shared" si="7"/>
        <v>#DIV/0!</v>
      </c>
      <c r="AG17" s="24" t="e">
        <f t="shared" si="8"/>
        <v>#DIV/0!</v>
      </c>
      <c r="AH17" s="18" t="e">
        <f t="shared" si="9"/>
        <v>#DIV/0!</v>
      </c>
      <c r="AI17" s="18"/>
      <c r="AJ17" s="26" t="e">
        <f t="shared" si="10"/>
        <v>#DIV/0!</v>
      </c>
      <c r="AK17" s="121"/>
      <c r="AL17" s="121"/>
    </row>
    <row r="18" spans="1:38" x14ac:dyDescent="0.25">
      <c r="A18" s="187">
        <v>1</v>
      </c>
      <c r="B18" s="188">
        <v>1</v>
      </c>
      <c r="C18" s="191" t="s">
        <v>240</v>
      </c>
      <c r="D18" s="92"/>
      <c r="E18" s="219"/>
      <c r="F18" s="218" t="str">
        <f t="shared" si="11"/>
        <v>#NUM!</v>
      </c>
      <c r="G18" s="219"/>
      <c r="H18" s="219"/>
      <c r="I18" s="23"/>
      <c r="K18" s="23"/>
      <c r="L18" s="19" t="s">
        <v>70</v>
      </c>
      <c r="M18" s="17" t="e">
        <f>M4 + 3*M5</f>
        <v>#DIV/0!</v>
      </c>
      <c r="N18" s="57"/>
      <c r="P18" s="33" t="s">
        <v>39</v>
      </c>
      <c r="Q18" s="32" t="s">
        <v>129</v>
      </c>
      <c r="X18" s="17" t="e">
        <f t="shared" si="1"/>
        <v>#DIV/0!</v>
      </c>
      <c r="Y18" s="24" t="e">
        <f t="shared" si="2"/>
        <v>#DIV/0!</v>
      </c>
      <c r="Z18" s="17" t="e">
        <f t="shared" si="3"/>
        <v>#DIV/0!</v>
      </c>
      <c r="AA18" s="17" t="e">
        <f t="shared" si="4"/>
        <v>#DIV/0!</v>
      </c>
      <c r="AB18" s="17" t="e">
        <f t="shared" si="5"/>
        <v>#DIV/0!</v>
      </c>
      <c r="AC18" s="18" t="e">
        <f t="shared" si="12"/>
        <v>#DIV/0!</v>
      </c>
      <c r="AD18" s="25"/>
      <c r="AE18" s="18" t="e">
        <f t="shared" si="6"/>
        <v>#DIV/0!</v>
      </c>
      <c r="AF18" s="17" t="e">
        <f t="shared" si="7"/>
        <v>#DIV/0!</v>
      </c>
      <c r="AG18" s="24" t="e">
        <f t="shared" si="8"/>
        <v>#DIV/0!</v>
      </c>
      <c r="AH18" s="18" t="e">
        <f t="shared" si="9"/>
        <v>#DIV/0!</v>
      </c>
      <c r="AI18" s="18"/>
      <c r="AJ18" s="26" t="e">
        <f t="shared" si="10"/>
        <v>#DIV/0!</v>
      </c>
      <c r="AK18" s="121"/>
      <c r="AL18" s="121"/>
    </row>
    <row r="19" spans="1:38" x14ac:dyDescent="0.25">
      <c r="A19" s="187">
        <v>1</v>
      </c>
      <c r="B19" s="188">
        <v>1</v>
      </c>
      <c r="C19" s="191" t="s">
        <v>241</v>
      </c>
      <c r="D19" s="92"/>
      <c r="E19" s="219"/>
      <c r="F19" s="218" t="str">
        <f t="shared" si="11"/>
        <v>#NUM!</v>
      </c>
      <c r="G19" s="219"/>
      <c r="H19" s="219"/>
      <c r="I19" s="23"/>
      <c r="K19" s="23"/>
      <c r="L19" s="27" t="s">
        <v>39</v>
      </c>
      <c r="M19" s="121" t="e">
        <f>(10^(-1/M7))-1</f>
        <v>#DIV/0!</v>
      </c>
      <c r="N19" s="57"/>
      <c r="P19" s="31" t="s">
        <v>139</v>
      </c>
      <c r="Q19" s="32" t="s">
        <v>130</v>
      </c>
      <c r="X19" s="17" t="e">
        <f t="shared" si="1"/>
        <v>#DIV/0!</v>
      </c>
      <c r="Y19" s="24" t="e">
        <f t="shared" si="2"/>
        <v>#DIV/0!</v>
      </c>
      <c r="Z19" s="17" t="e">
        <f t="shared" si="3"/>
        <v>#DIV/0!</v>
      </c>
      <c r="AA19" s="17" t="e">
        <f t="shared" si="4"/>
        <v>#DIV/0!</v>
      </c>
      <c r="AB19" s="17" t="e">
        <f t="shared" si="5"/>
        <v>#DIV/0!</v>
      </c>
      <c r="AC19" s="18" t="e">
        <f t="shared" si="12"/>
        <v>#DIV/0!</v>
      </c>
      <c r="AD19" s="25"/>
      <c r="AE19" s="18" t="e">
        <f t="shared" si="6"/>
        <v>#DIV/0!</v>
      </c>
      <c r="AF19" s="17" t="e">
        <f t="shared" si="7"/>
        <v>#DIV/0!</v>
      </c>
      <c r="AG19" s="24" t="e">
        <f t="shared" si="8"/>
        <v>#DIV/0!</v>
      </c>
      <c r="AH19" s="18" t="e">
        <f t="shared" si="9"/>
        <v>#DIV/0!</v>
      </c>
      <c r="AI19" s="26" t="e">
        <f>SUM(AH19:AH21)</f>
        <v>#DIV/0!</v>
      </c>
      <c r="AJ19" s="26" t="e">
        <f t="shared" si="10"/>
        <v>#DIV/0!</v>
      </c>
      <c r="AK19" s="217" t="e">
        <f>IF(AI19&lt;=1,$F19,"")</f>
        <v>#DIV/0!</v>
      </c>
      <c r="AL19" s="217" t="e">
        <f>IF(AI19&gt;1,$F19,"")</f>
        <v>#DIV/0!</v>
      </c>
    </row>
    <row r="20" spans="1:38" ht="17.25" x14ac:dyDescent="0.25">
      <c r="A20" s="187">
        <v>1</v>
      </c>
      <c r="B20" s="188">
        <v>1</v>
      </c>
      <c r="C20" s="191" t="s">
        <v>241</v>
      </c>
      <c r="D20" s="92"/>
      <c r="E20" s="219"/>
      <c r="F20" s="218" t="str">
        <f t="shared" si="11"/>
        <v>#NUM!</v>
      </c>
      <c r="G20" s="219"/>
      <c r="H20" s="219"/>
      <c r="I20" s="23"/>
      <c r="K20" s="23"/>
      <c r="L20" s="19" t="s">
        <v>99</v>
      </c>
      <c r="M20" s="18" t="e">
        <f>IF(OR((10^(-1/M7))-1&gt;=1.1, (10^(-1/M7))-1 &lt;= 0.9),"fail","pass")</f>
        <v>#DIV/0!</v>
      </c>
      <c r="N20" s="172"/>
      <c r="P20" s="31" t="s">
        <v>140</v>
      </c>
      <c r="Q20" s="32" t="s">
        <v>131</v>
      </c>
      <c r="X20" s="17" t="e">
        <f t="shared" si="1"/>
        <v>#DIV/0!</v>
      </c>
      <c r="Y20" s="24" t="e">
        <f t="shared" si="2"/>
        <v>#DIV/0!</v>
      </c>
      <c r="Z20" s="17" t="e">
        <f t="shared" si="3"/>
        <v>#DIV/0!</v>
      </c>
      <c r="AA20" s="17" t="e">
        <f t="shared" si="4"/>
        <v>#DIV/0!</v>
      </c>
      <c r="AB20" s="17" t="e">
        <f t="shared" si="5"/>
        <v>#DIV/0!</v>
      </c>
      <c r="AC20" s="18" t="e">
        <f t="shared" si="12"/>
        <v>#DIV/0!</v>
      </c>
      <c r="AD20" s="25"/>
      <c r="AE20" s="18" t="e">
        <f t="shared" si="6"/>
        <v>#DIV/0!</v>
      </c>
      <c r="AF20" s="17" t="e">
        <f t="shared" si="7"/>
        <v>#DIV/0!</v>
      </c>
      <c r="AG20" s="24" t="e">
        <f t="shared" si="8"/>
        <v>#DIV/0!</v>
      </c>
      <c r="AH20" s="18" t="e">
        <f t="shared" si="9"/>
        <v>#DIV/0!</v>
      </c>
      <c r="AI20" s="18"/>
      <c r="AJ20" s="26" t="e">
        <f t="shared" si="10"/>
        <v>#DIV/0!</v>
      </c>
      <c r="AK20" s="121"/>
      <c r="AL20" s="121"/>
    </row>
    <row r="21" spans="1:38" ht="17.25" x14ac:dyDescent="0.25">
      <c r="A21" s="187">
        <v>1</v>
      </c>
      <c r="B21" s="188">
        <v>1</v>
      </c>
      <c r="C21" s="191" t="s">
        <v>241</v>
      </c>
      <c r="D21" s="92"/>
      <c r="E21" s="219"/>
      <c r="F21" s="218" t="str">
        <f t="shared" si="11"/>
        <v>#NUM!</v>
      </c>
      <c r="G21" s="219"/>
      <c r="H21" s="219"/>
      <c r="K21" s="23"/>
      <c r="L21" s="19" t="s">
        <v>100</v>
      </c>
      <c r="M21" s="18" t="e">
        <f>IF(M15 &lt; 0.98,"fail","pass")</f>
        <v>#DIV/0!</v>
      </c>
      <c r="N21" s="172"/>
      <c r="P21" s="31" t="s">
        <v>24</v>
      </c>
      <c r="Q21" s="32" t="s">
        <v>132</v>
      </c>
      <c r="X21" s="17" t="e">
        <f t="shared" si="1"/>
        <v>#DIV/0!</v>
      </c>
      <c r="Y21" s="24" t="e">
        <f t="shared" si="2"/>
        <v>#DIV/0!</v>
      </c>
      <c r="Z21" s="17" t="e">
        <f t="shared" si="3"/>
        <v>#DIV/0!</v>
      </c>
      <c r="AA21" s="17" t="e">
        <f t="shared" si="4"/>
        <v>#DIV/0!</v>
      </c>
      <c r="AB21" s="17" t="e">
        <f t="shared" si="5"/>
        <v>#DIV/0!</v>
      </c>
      <c r="AC21" s="18" t="e">
        <f t="shared" si="12"/>
        <v>#DIV/0!</v>
      </c>
      <c r="AD21" s="25"/>
      <c r="AE21" s="18" t="e">
        <f t="shared" si="6"/>
        <v>#DIV/0!</v>
      </c>
      <c r="AF21" s="17" t="e">
        <f t="shared" si="7"/>
        <v>#DIV/0!</v>
      </c>
      <c r="AG21" s="24" t="e">
        <f t="shared" si="8"/>
        <v>#DIV/0!</v>
      </c>
      <c r="AH21" s="18" t="e">
        <f t="shared" si="9"/>
        <v>#DIV/0!</v>
      </c>
      <c r="AI21" s="18"/>
      <c r="AJ21" s="26" t="e">
        <f t="shared" si="10"/>
        <v>#DIV/0!</v>
      </c>
      <c r="AK21" s="121"/>
      <c r="AL21" s="121"/>
    </row>
    <row r="22" spans="1:38" x14ac:dyDescent="0.25">
      <c r="A22" s="187">
        <v>1</v>
      </c>
      <c r="B22" s="188">
        <v>1</v>
      </c>
      <c r="C22" s="191" t="s">
        <v>242</v>
      </c>
      <c r="D22" s="92"/>
      <c r="E22" s="219"/>
      <c r="F22" s="218" t="str">
        <f t="shared" si="11"/>
        <v>#NUM!</v>
      </c>
      <c r="G22" s="219"/>
      <c r="H22" s="219"/>
      <c r="I22" s="23"/>
      <c r="K22" s="23"/>
      <c r="L22" s="19" t="s">
        <v>24</v>
      </c>
      <c r="M22" s="17" t="e">
        <f>M11+(M7*F10)+TINV(0.05,COUNT(AG10:AG24)-2)*SQRT((SUMSQ(AG10:AG24)/(COUNT(AG10:AG24)-2))*(1+(1/COUNT(AE10:AE24))+((F10-AVERAGE(AE10:AE24))^2/DEVSQ(AE10:AE24))))</f>
        <v>#DIV/0!</v>
      </c>
      <c r="N22" s="57"/>
      <c r="P22" s="31" t="s">
        <v>71</v>
      </c>
      <c r="Q22" s="32" t="s">
        <v>133</v>
      </c>
      <c r="X22" s="17" t="e">
        <f t="shared" si="1"/>
        <v>#DIV/0!</v>
      </c>
      <c r="Y22" s="24" t="e">
        <f t="shared" si="2"/>
        <v>#DIV/0!</v>
      </c>
      <c r="Z22" s="17" t="e">
        <f t="shared" si="3"/>
        <v>#DIV/0!</v>
      </c>
      <c r="AA22" s="17" t="e">
        <f t="shared" si="4"/>
        <v>#DIV/0!</v>
      </c>
      <c r="AB22" s="17" t="e">
        <f t="shared" si="5"/>
        <v>#DIV/0!</v>
      </c>
      <c r="AC22" s="18" t="e">
        <f t="shared" si="12"/>
        <v>#DIV/0!</v>
      </c>
      <c r="AD22" s="25"/>
      <c r="AE22" s="18" t="e">
        <f t="shared" si="6"/>
        <v>#DIV/0!</v>
      </c>
      <c r="AF22" s="17" t="e">
        <f t="shared" si="7"/>
        <v>#DIV/0!</v>
      </c>
      <c r="AG22" s="24" t="e">
        <f t="shared" si="8"/>
        <v>#DIV/0!</v>
      </c>
      <c r="AH22" s="18" t="e">
        <f t="shared" si="9"/>
        <v>#DIV/0!</v>
      </c>
      <c r="AI22" s="26" t="e">
        <f>SUM(AH22:AH24)</f>
        <v>#DIV/0!</v>
      </c>
      <c r="AJ22" s="26" t="e">
        <f t="shared" si="10"/>
        <v>#DIV/0!</v>
      </c>
      <c r="AK22" s="217" t="e">
        <f>IF(AI22&lt;=1,$F22,"")</f>
        <v>#DIV/0!</v>
      </c>
      <c r="AL22" s="217" t="e">
        <f>IF(AI22&gt;1,$F22,"")</f>
        <v>#DIV/0!</v>
      </c>
    </row>
    <row r="23" spans="1:38" x14ac:dyDescent="0.25">
      <c r="A23" s="187">
        <v>1</v>
      </c>
      <c r="B23" s="188">
        <v>1</v>
      </c>
      <c r="C23" s="191" t="s">
        <v>242</v>
      </c>
      <c r="D23" s="92"/>
      <c r="E23" s="219"/>
      <c r="F23" s="218" t="str">
        <f t="shared" si="11"/>
        <v>#NUM!</v>
      </c>
      <c r="G23" s="219"/>
      <c r="H23" s="219"/>
      <c r="I23" s="23"/>
      <c r="K23" s="23"/>
      <c r="L23" s="28" t="s">
        <v>71</v>
      </c>
      <c r="M23" s="29">
        <f>IF(D4="HF183",1.16,IF(D4="HumM2",1.05,0))</f>
        <v>0</v>
      </c>
      <c r="N23" s="134"/>
      <c r="P23" s="31" t="s">
        <v>60</v>
      </c>
      <c r="Q23" s="32" t="s">
        <v>134</v>
      </c>
      <c r="X23" s="17" t="e">
        <f t="shared" si="1"/>
        <v>#DIV/0!</v>
      </c>
      <c r="Y23" s="24" t="e">
        <f t="shared" si="2"/>
        <v>#DIV/0!</v>
      </c>
      <c r="Z23" s="17" t="e">
        <f t="shared" si="3"/>
        <v>#DIV/0!</v>
      </c>
      <c r="AA23" s="17" t="e">
        <f t="shared" si="4"/>
        <v>#DIV/0!</v>
      </c>
      <c r="AB23" s="17" t="e">
        <f t="shared" si="5"/>
        <v>#DIV/0!</v>
      </c>
      <c r="AC23" s="18" t="e">
        <f t="shared" si="12"/>
        <v>#DIV/0!</v>
      </c>
      <c r="AD23" s="25"/>
      <c r="AE23" s="18" t="e">
        <f t="shared" si="6"/>
        <v>#DIV/0!</v>
      </c>
      <c r="AF23" s="17" t="e">
        <f t="shared" si="7"/>
        <v>#DIV/0!</v>
      </c>
      <c r="AG23" s="24" t="e">
        <f t="shared" si="8"/>
        <v>#DIV/0!</v>
      </c>
      <c r="AH23" s="18" t="e">
        <f t="shared" si="9"/>
        <v>#DIV/0!</v>
      </c>
      <c r="AI23" s="18"/>
      <c r="AJ23" s="26" t="e">
        <f t="shared" si="10"/>
        <v>#DIV/0!</v>
      </c>
      <c r="AK23" s="121"/>
      <c r="AL23" s="121"/>
    </row>
    <row r="24" spans="1:38" ht="14.25" customHeight="1" x14ac:dyDescent="0.25">
      <c r="A24" s="187">
        <v>1</v>
      </c>
      <c r="B24" s="188">
        <v>1</v>
      </c>
      <c r="C24" s="191" t="s">
        <v>242</v>
      </c>
      <c r="D24" s="92"/>
      <c r="E24" s="219"/>
      <c r="F24" s="218" t="str">
        <f t="shared" si="11"/>
        <v>#NUM!</v>
      </c>
      <c r="G24" s="219"/>
      <c r="H24" s="219"/>
      <c r="I24" s="23"/>
      <c r="K24" s="23"/>
      <c r="L24" s="19" t="s">
        <v>60</v>
      </c>
      <c r="M24" s="18" t="e">
        <f>IF(AC10="Yes",1,0) + IF(AC11="Yes",1,0)  +IF(AC12="Yes",1,0) +IF(AC13="Yes",1,0) +IF(AC14="Yes",1,0) +IF(AC15="Yes",1,0) +IF(AC16="Yes",1,0) +IF(AC17="Yes",1,0) +IF(AC18="Yes",1,0) +IF(AC19="Yes",1,0) +IF(AC20="Yes",1,0) +IF(AC21="Yes",1,0) +IF(AC22="Yes",1,0) +IF(AC23="Yes",1,0) +IF(AC24="Yes",1,0)</f>
        <v>#DIV/0!</v>
      </c>
      <c r="N24" s="172"/>
      <c r="P24" s="31" t="s">
        <v>101</v>
      </c>
      <c r="Q24" s="32" t="s">
        <v>137</v>
      </c>
      <c r="X24" s="17" t="e">
        <f t="shared" si="1"/>
        <v>#DIV/0!</v>
      </c>
      <c r="Y24" s="24" t="e">
        <f t="shared" si="2"/>
        <v>#DIV/0!</v>
      </c>
      <c r="Z24" s="17" t="e">
        <f t="shared" si="3"/>
        <v>#DIV/0!</v>
      </c>
      <c r="AA24" s="17" t="e">
        <f t="shared" si="4"/>
        <v>#DIV/0!</v>
      </c>
      <c r="AB24" s="17" t="e">
        <f t="shared" si="5"/>
        <v>#DIV/0!</v>
      </c>
      <c r="AC24" s="18" t="e">
        <f t="shared" si="12"/>
        <v>#DIV/0!</v>
      </c>
      <c r="AD24" s="25"/>
      <c r="AE24" s="18" t="e">
        <f t="shared" si="6"/>
        <v>#DIV/0!</v>
      </c>
      <c r="AF24" s="17" t="e">
        <f t="shared" si="7"/>
        <v>#DIV/0!</v>
      </c>
      <c r="AG24" s="24" t="e">
        <f t="shared" si="8"/>
        <v>#DIV/0!</v>
      </c>
      <c r="AH24" s="18" t="e">
        <f t="shared" si="9"/>
        <v>#DIV/0!</v>
      </c>
      <c r="AI24" s="18"/>
      <c r="AJ24" s="26" t="e">
        <f t="shared" si="10"/>
        <v>#DIV/0!</v>
      </c>
      <c r="AK24" s="121"/>
      <c r="AL24" s="121"/>
    </row>
    <row r="25" spans="1:38" s="8" customFormat="1" x14ac:dyDescent="0.25">
      <c r="A25" s="128"/>
      <c r="B25" s="128"/>
      <c r="C25" s="128"/>
      <c r="D25" s="128"/>
      <c r="E25" s="128"/>
      <c r="F25" s="128"/>
      <c r="G25" s="128"/>
      <c r="H25" s="128"/>
      <c r="I25" s="128"/>
      <c r="J25" s="128"/>
      <c r="K25" s="128"/>
      <c r="L25" s="16" t="s">
        <v>209</v>
      </c>
      <c r="M25" s="171">
        <f>MIN(MIN(G4:G9),MIN(F30:F35))</f>
        <v>0</v>
      </c>
      <c r="P25" s="31" t="s">
        <v>19</v>
      </c>
      <c r="Q25" s="32" t="s">
        <v>148</v>
      </c>
    </row>
    <row r="26" spans="1:38" s="8" customFormat="1" x14ac:dyDescent="0.25">
      <c r="A26" s="128"/>
      <c r="B26" s="128"/>
      <c r="C26" s="128"/>
      <c r="D26" s="128"/>
      <c r="E26" s="128"/>
      <c r="F26" s="128"/>
      <c r="G26" s="128"/>
      <c r="H26" s="128"/>
      <c r="I26" s="128"/>
      <c r="J26" s="128"/>
      <c r="K26" s="128"/>
      <c r="P26" s="31" t="s">
        <v>236</v>
      </c>
      <c r="Q26" s="32" t="s">
        <v>243</v>
      </c>
    </row>
    <row r="27" spans="1:38" s="8" customFormat="1" ht="19.5" x14ac:dyDescent="0.35">
      <c r="A27" s="127" t="s">
        <v>217</v>
      </c>
      <c r="B27" s="128"/>
      <c r="C27" s="128"/>
      <c r="D27" s="128"/>
      <c r="E27" s="128"/>
      <c r="F27" s="128"/>
      <c r="G27" s="128"/>
      <c r="H27" s="128"/>
      <c r="I27" s="128"/>
      <c r="J27" s="128"/>
      <c r="K27" s="128"/>
      <c r="P27" s="31" t="s">
        <v>237</v>
      </c>
      <c r="Q27" s="32" t="s">
        <v>244</v>
      </c>
    </row>
    <row r="28" spans="1:38" s="8" customFormat="1" x14ac:dyDescent="0.25">
      <c r="A28" s="128"/>
      <c r="B28" s="128"/>
      <c r="C28" s="128"/>
      <c r="F28" s="128"/>
      <c r="G28" s="128"/>
      <c r="H28" s="128"/>
      <c r="I28" s="128"/>
      <c r="J28" s="128"/>
      <c r="K28" s="128"/>
    </row>
    <row r="29" spans="1:38" s="8" customFormat="1" ht="15.75" x14ac:dyDescent="0.25">
      <c r="A29" s="192" t="s">
        <v>28</v>
      </c>
      <c r="B29" s="164" t="s">
        <v>26</v>
      </c>
      <c r="C29" s="165" t="s">
        <v>151</v>
      </c>
      <c r="D29" s="165" t="s">
        <v>19</v>
      </c>
      <c r="E29" s="165" t="s">
        <v>6</v>
      </c>
      <c r="F29" s="193" t="s">
        <v>30</v>
      </c>
      <c r="G29" s="166" t="s">
        <v>219</v>
      </c>
      <c r="H29" s="167" t="s">
        <v>218</v>
      </c>
      <c r="I29" s="128"/>
      <c r="J29" s="128"/>
      <c r="K29" s="128"/>
      <c r="Z29" s="154" t="s">
        <v>201</v>
      </c>
      <c r="AE29" s="231"/>
      <c r="AF29" s="231"/>
      <c r="AG29" s="135"/>
    </row>
    <row r="30" spans="1:38" x14ac:dyDescent="0.25">
      <c r="A30" s="197">
        <v>1</v>
      </c>
      <c r="B30" s="197">
        <v>1</v>
      </c>
      <c r="C30" s="194" t="s">
        <v>220</v>
      </c>
      <c r="D30" s="190"/>
      <c r="E30" s="194">
        <v>1</v>
      </c>
      <c r="F30" s="222"/>
      <c r="G30" s="195" t="e">
        <f>IF(OR(F30="undetermined",F30&gt;M$22),1,0)</f>
        <v>#DIV/0!</v>
      </c>
      <c r="H30" s="168" t="e">
        <f>IF(SUM(G30:G38)=9,"pass","fail")</f>
        <v>#DIV/0!</v>
      </c>
      <c r="P30" s="31" t="s">
        <v>25</v>
      </c>
      <c r="Q30" s="32" t="s">
        <v>141</v>
      </c>
      <c r="AA30" s="220" t="s">
        <v>44</v>
      </c>
      <c r="AB30" s="220" t="s">
        <v>45</v>
      </c>
      <c r="AC30" s="230" t="s">
        <v>46</v>
      </c>
      <c r="AD30" s="230"/>
    </row>
    <row r="31" spans="1:38" x14ac:dyDescent="0.25">
      <c r="A31" s="197">
        <v>1</v>
      </c>
      <c r="B31" s="197">
        <v>1</v>
      </c>
      <c r="C31" s="194" t="s">
        <v>220</v>
      </c>
      <c r="D31" s="210"/>
      <c r="E31" s="194">
        <v>1</v>
      </c>
      <c r="F31" s="222"/>
      <c r="G31" s="195" t="e">
        <f t="shared" ref="G31:G38" si="13">IF(OR(F31="undetermined",F31&gt;M$22),1,0)</f>
        <v>#DIV/0!</v>
      </c>
      <c r="H31" s="181"/>
      <c r="P31" s="31" t="s">
        <v>26</v>
      </c>
      <c r="Q31" s="32" t="s">
        <v>143</v>
      </c>
      <c r="Z31" s="121" t="e">
        <f t="shared" ref="Z31:Z45" si="14">LOG10(E10)</f>
        <v>#NUM!</v>
      </c>
      <c r="AA31" s="17" t="e">
        <f t="shared" ref="AA31:AA45" si="15">AF10</f>
        <v>#DIV/0!</v>
      </c>
      <c r="AB31" s="17" t="e">
        <f t="shared" ref="AB31:AB45" si="16">$M$11+$M$7*Z31</f>
        <v>#DIV/0!</v>
      </c>
      <c r="AC31" s="17" t="e">
        <f t="shared" ref="AC31:AC45" si="17">AB31 -TINV(0.05, COUNT(AF$10:AF$24)-2)*SQRT(SUMSQ(AG$10:AG$24)/(COUNT(AF$10:AF$24)-2))*SQRT((1+ (1/COUNT(AE$10:AE$24)) + (Z31-AVERAGE(AE$10:AE$24))^2/DEVSQ(AE$10:AE$24)))</f>
        <v>#DIV/0!</v>
      </c>
      <c r="AD31" s="17" t="e">
        <f t="shared" ref="AD31:AD45" si="18">AB31 + TINV(0.05, COUNT(AF$10:AF$24)-2)*SQRT(SUMSQ(AG$10:AG$24)/(COUNT(AF$10:AF$24)-2))*SQRT((1+ (1/COUNT(AE$10:AE$24)) + (Z31-AVERAGE(AE$10:AE$24))^2/DEVSQ(AE$10:AE$24)))</f>
        <v>#DIV/0!</v>
      </c>
    </row>
    <row r="32" spans="1:38" x14ac:dyDescent="0.25">
      <c r="A32" s="197">
        <v>1</v>
      </c>
      <c r="B32" s="197">
        <v>1</v>
      </c>
      <c r="C32" s="194" t="s">
        <v>220</v>
      </c>
      <c r="D32" s="210"/>
      <c r="E32" s="194">
        <v>1</v>
      </c>
      <c r="F32" s="222"/>
      <c r="G32" s="195" t="e">
        <f t="shared" si="13"/>
        <v>#DIV/0!</v>
      </c>
      <c r="H32" s="181"/>
      <c r="P32" s="31" t="s">
        <v>80</v>
      </c>
      <c r="Q32" s="32" t="s">
        <v>152</v>
      </c>
      <c r="Z32" s="121" t="e">
        <f t="shared" si="14"/>
        <v>#NUM!</v>
      </c>
      <c r="AA32" s="17" t="e">
        <f t="shared" si="15"/>
        <v>#DIV/0!</v>
      </c>
      <c r="AB32" s="17" t="e">
        <f t="shared" si="16"/>
        <v>#DIV/0!</v>
      </c>
      <c r="AC32" s="17" t="e">
        <f t="shared" si="17"/>
        <v>#DIV/0!</v>
      </c>
      <c r="AD32" s="17" t="e">
        <f t="shared" si="18"/>
        <v>#DIV/0!</v>
      </c>
    </row>
    <row r="33" spans="1:30" x14ac:dyDescent="0.25">
      <c r="A33" s="197">
        <v>1</v>
      </c>
      <c r="B33" s="197">
        <v>1</v>
      </c>
      <c r="C33" s="194" t="s">
        <v>220</v>
      </c>
      <c r="D33" s="210"/>
      <c r="E33" s="194">
        <v>2</v>
      </c>
      <c r="F33" s="222"/>
      <c r="G33" s="195" t="e">
        <f t="shared" si="13"/>
        <v>#DIV/0!</v>
      </c>
      <c r="H33" s="181"/>
      <c r="P33" s="31" t="s">
        <v>13</v>
      </c>
      <c r="Q33" s="32" t="s">
        <v>135</v>
      </c>
      <c r="Z33" s="121" t="e">
        <f t="shared" si="14"/>
        <v>#NUM!</v>
      </c>
      <c r="AA33" s="17" t="e">
        <f t="shared" si="15"/>
        <v>#DIV/0!</v>
      </c>
      <c r="AB33" s="17" t="e">
        <f t="shared" si="16"/>
        <v>#DIV/0!</v>
      </c>
      <c r="AC33" s="17" t="e">
        <f t="shared" si="17"/>
        <v>#DIV/0!</v>
      </c>
      <c r="AD33" s="17" t="e">
        <f t="shared" si="18"/>
        <v>#DIV/0!</v>
      </c>
    </row>
    <row r="34" spans="1:30" x14ac:dyDescent="0.25">
      <c r="A34" s="197">
        <v>1</v>
      </c>
      <c r="B34" s="197">
        <v>1</v>
      </c>
      <c r="C34" s="194" t="s">
        <v>220</v>
      </c>
      <c r="D34" s="210"/>
      <c r="E34" s="194">
        <v>2</v>
      </c>
      <c r="F34" s="222"/>
      <c r="G34" s="195" t="e">
        <f t="shared" si="13"/>
        <v>#DIV/0!</v>
      </c>
      <c r="H34" s="181"/>
      <c r="P34" s="31" t="s">
        <v>30</v>
      </c>
      <c r="Q34" s="32" t="s">
        <v>136</v>
      </c>
      <c r="Z34" s="121" t="e">
        <f t="shared" si="14"/>
        <v>#NUM!</v>
      </c>
      <c r="AA34" s="17" t="e">
        <f t="shared" si="15"/>
        <v>#DIV/0!</v>
      </c>
      <c r="AB34" s="17" t="e">
        <f t="shared" si="16"/>
        <v>#DIV/0!</v>
      </c>
      <c r="AC34" s="17" t="e">
        <f t="shared" si="17"/>
        <v>#DIV/0!</v>
      </c>
      <c r="AD34" s="17" t="e">
        <f t="shared" si="18"/>
        <v>#DIV/0!</v>
      </c>
    </row>
    <row r="35" spans="1:30" x14ac:dyDescent="0.25">
      <c r="A35" s="197">
        <v>1</v>
      </c>
      <c r="B35" s="197">
        <v>1</v>
      </c>
      <c r="C35" s="194" t="s">
        <v>220</v>
      </c>
      <c r="D35" s="210"/>
      <c r="E35" s="194">
        <v>2</v>
      </c>
      <c r="F35" s="222"/>
      <c r="G35" s="195" t="e">
        <f t="shared" si="13"/>
        <v>#DIV/0!</v>
      </c>
      <c r="H35" s="181"/>
      <c r="P35" s="31" t="s">
        <v>29</v>
      </c>
      <c r="Q35" s="32" t="s">
        <v>153</v>
      </c>
      <c r="Z35" s="121" t="e">
        <f t="shared" si="14"/>
        <v>#NUM!</v>
      </c>
      <c r="AA35" s="17" t="e">
        <f t="shared" si="15"/>
        <v>#DIV/0!</v>
      </c>
      <c r="AB35" s="17" t="e">
        <f t="shared" si="16"/>
        <v>#DIV/0!</v>
      </c>
      <c r="AC35" s="17" t="e">
        <f t="shared" si="17"/>
        <v>#DIV/0!</v>
      </c>
      <c r="AD35" s="17" t="e">
        <f t="shared" si="18"/>
        <v>#DIV/0!</v>
      </c>
    </row>
    <row r="36" spans="1:30" x14ac:dyDescent="0.25">
      <c r="A36" s="198">
        <v>1</v>
      </c>
      <c r="B36" s="198">
        <v>1</v>
      </c>
      <c r="C36" s="194" t="s">
        <v>220</v>
      </c>
      <c r="D36" s="196"/>
      <c r="E36" s="198">
        <v>3</v>
      </c>
      <c r="F36" s="222"/>
      <c r="G36" s="195" t="e">
        <f t="shared" si="13"/>
        <v>#DIV/0!</v>
      </c>
      <c r="H36" s="169"/>
      <c r="P36" s="31" t="s">
        <v>67</v>
      </c>
      <c r="Q36" s="32" t="s">
        <v>154</v>
      </c>
      <c r="Z36" s="121" t="e">
        <f t="shared" si="14"/>
        <v>#NUM!</v>
      </c>
      <c r="AA36" s="17" t="e">
        <f t="shared" si="15"/>
        <v>#DIV/0!</v>
      </c>
      <c r="AB36" s="17" t="e">
        <f t="shared" si="16"/>
        <v>#DIV/0!</v>
      </c>
      <c r="AC36" s="17" t="e">
        <f t="shared" si="17"/>
        <v>#DIV/0!</v>
      </c>
      <c r="AD36" s="17" t="e">
        <f t="shared" si="18"/>
        <v>#DIV/0!</v>
      </c>
    </row>
    <row r="37" spans="1:30" x14ac:dyDescent="0.25">
      <c r="A37" s="198">
        <v>1</v>
      </c>
      <c r="B37" s="198">
        <v>1</v>
      </c>
      <c r="C37" s="194" t="s">
        <v>220</v>
      </c>
      <c r="D37" s="196"/>
      <c r="E37" s="198">
        <v>3</v>
      </c>
      <c r="F37" s="222"/>
      <c r="G37" s="195" t="e">
        <f t="shared" si="13"/>
        <v>#DIV/0!</v>
      </c>
      <c r="H37" s="169"/>
      <c r="P37" s="31" t="s">
        <v>219</v>
      </c>
      <c r="Q37" s="32" t="s">
        <v>155</v>
      </c>
      <c r="Z37" s="121" t="e">
        <f t="shared" si="14"/>
        <v>#NUM!</v>
      </c>
      <c r="AA37" s="17" t="e">
        <f t="shared" si="15"/>
        <v>#DIV/0!</v>
      </c>
      <c r="AB37" s="17" t="e">
        <f t="shared" si="16"/>
        <v>#DIV/0!</v>
      </c>
      <c r="AC37" s="17" t="e">
        <f t="shared" si="17"/>
        <v>#DIV/0!</v>
      </c>
      <c r="AD37" s="17" t="e">
        <f t="shared" si="18"/>
        <v>#DIV/0!</v>
      </c>
    </row>
    <row r="38" spans="1:30" x14ac:dyDescent="0.25">
      <c r="A38" s="198">
        <v>1</v>
      </c>
      <c r="B38" s="198">
        <v>1</v>
      </c>
      <c r="C38" s="194" t="s">
        <v>220</v>
      </c>
      <c r="D38" s="196"/>
      <c r="E38" s="198">
        <v>3</v>
      </c>
      <c r="F38" s="222"/>
      <c r="G38" s="195" t="e">
        <f t="shared" si="13"/>
        <v>#DIV/0!</v>
      </c>
      <c r="H38" s="169"/>
      <c r="P38" s="31" t="s">
        <v>218</v>
      </c>
      <c r="Q38" s="32" t="s">
        <v>156</v>
      </c>
      <c r="Z38" s="121" t="e">
        <f t="shared" si="14"/>
        <v>#NUM!</v>
      </c>
      <c r="AA38" s="17" t="e">
        <f t="shared" si="15"/>
        <v>#DIV/0!</v>
      </c>
      <c r="AB38" s="17" t="e">
        <f t="shared" si="16"/>
        <v>#DIV/0!</v>
      </c>
      <c r="AC38" s="17" t="e">
        <f t="shared" si="17"/>
        <v>#DIV/0!</v>
      </c>
      <c r="AD38" s="17" t="e">
        <f t="shared" si="18"/>
        <v>#DIV/0!</v>
      </c>
    </row>
    <row r="39" spans="1:30" s="8" customFormat="1" x14ac:dyDescent="0.25">
      <c r="A39" s="128"/>
      <c r="B39" s="128"/>
      <c r="C39" s="128"/>
      <c r="D39" s="128"/>
      <c r="E39" s="128"/>
      <c r="F39" s="128"/>
      <c r="G39" s="128"/>
      <c r="H39" s="128"/>
      <c r="I39" s="128"/>
      <c r="J39" s="128"/>
      <c r="K39" s="128"/>
      <c r="P39" s="136"/>
      <c r="Q39" s="32"/>
      <c r="Z39" s="121" t="e">
        <f t="shared" si="14"/>
        <v>#NUM!</v>
      </c>
      <c r="AA39" s="17" t="e">
        <f t="shared" si="15"/>
        <v>#DIV/0!</v>
      </c>
      <c r="AB39" s="17" t="e">
        <f t="shared" si="16"/>
        <v>#DIV/0!</v>
      </c>
      <c r="AC39" s="17" t="e">
        <f t="shared" si="17"/>
        <v>#DIV/0!</v>
      </c>
      <c r="AD39" s="17" t="e">
        <f t="shared" si="18"/>
        <v>#DIV/0!</v>
      </c>
    </row>
    <row r="40" spans="1:30" s="8" customFormat="1" x14ac:dyDescent="0.25">
      <c r="A40" s="128"/>
      <c r="B40" s="128"/>
      <c r="C40" s="128"/>
      <c r="D40" s="128"/>
      <c r="E40" s="128"/>
      <c r="F40" s="128"/>
      <c r="G40" s="128"/>
      <c r="H40" s="128"/>
      <c r="I40" s="128"/>
      <c r="J40" s="128"/>
      <c r="K40" s="128"/>
      <c r="P40" s="136"/>
      <c r="Q40" s="32"/>
      <c r="Z40" s="121" t="e">
        <f t="shared" si="14"/>
        <v>#NUM!</v>
      </c>
      <c r="AA40" s="17" t="e">
        <f t="shared" si="15"/>
        <v>#DIV/0!</v>
      </c>
      <c r="AB40" s="17" t="e">
        <f t="shared" si="16"/>
        <v>#DIV/0!</v>
      </c>
      <c r="AC40" s="17" t="e">
        <f t="shared" si="17"/>
        <v>#DIV/0!</v>
      </c>
      <c r="AD40" s="17" t="e">
        <f t="shared" si="18"/>
        <v>#DIV/0!</v>
      </c>
    </row>
    <row r="41" spans="1:30" s="8" customFormat="1" x14ac:dyDescent="0.25">
      <c r="A41" s="128"/>
      <c r="B41" s="128"/>
      <c r="C41" s="128"/>
      <c r="D41" s="128"/>
      <c r="E41" s="128"/>
      <c r="F41" s="128"/>
      <c r="G41" s="128"/>
      <c r="H41" s="128"/>
      <c r="I41" s="128"/>
      <c r="J41" s="128"/>
      <c r="K41" s="128"/>
      <c r="P41" s="136" t="s">
        <v>204</v>
      </c>
      <c r="Z41" s="121" t="e">
        <f t="shared" si="14"/>
        <v>#NUM!</v>
      </c>
      <c r="AA41" s="17" t="e">
        <f t="shared" si="15"/>
        <v>#DIV/0!</v>
      </c>
      <c r="AB41" s="17" t="e">
        <f t="shared" si="16"/>
        <v>#DIV/0!</v>
      </c>
      <c r="AC41" s="17" t="e">
        <f t="shared" si="17"/>
        <v>#DIV/0!</v>
      </c>
      <c r="AD41" s="17" t="e">
        <f t="shared" si="18"/>
        <v>#DIV/0!</v>
      </c>
    </row>
    <row r="42" spans="1:30" s="8" customFormat="1" x14ac:dyDescent="0.25">
      <c r="A42" s="128"/>
      <c r="B42" s="128"/>
      <c r="C42" s="128"/>
      <c r="D42" s="128"/>
      <c r="E42" s="128"/>
      <c r="F42" s="128"/>
      <c r="G42" s="128"/>
      <c r="H42" s="128"/>
      <c r="I42" s="128"/>
      <c r="J42" s="128"/>
      <c r="K42" s="128"/>
      <c r="P42" s="136" t="s">
        <v>205</v>
      </c>
      <c r="Z42" s="121" t="e">
        <f t="shared" si="14"/>
        <v>#NUM!</v>
      </c>
      <c r="AA42" s="17" t="e">
        <f t="shared" si="15"/>
        <v>#DIV/0!</v>
      </c>
      <c r="AB42" s="17" t="e">
        <f t="shared" si="16"/>
        <v>#DIV/0!</v>
      </c>
      <c r="AC42" s="17" t="e">
        <f t="shared" si="17"/>
        <v>#DIV/0!</v>
      </c>
      <c r="AD42" s="17" t="e">
        <f t="shared" si="18"/>
        <v>#DIV/0!</v>
      </c>
    </row>
    <row r="43" spans="1:30" s="8" customFormat="1" x14ac:dyDescent="0.25">
      <c r="A43" s="128"/>
      <c r="B43" s="128"/>
      <c r="C43" s="128"/>
      <c r="D43" s="128"/>
      <c r="E43" s="128"/>
      <c r="F43" s="128"/>
      <c r="G43" s="128"/>
      <c r="H43" s="128"/>
      <c r="I43" s="128"/>
      <c r="J43" s="128"/>
      <c r="K43" s="128"/>
      <c r="Z43" s="121" t="e">
        <f t="shared" si="14"/>
        <v>#NUM!</v>
      </c>
      <c r="AA43" s="17" t="e">
        <f t="shared" si="15"/>
        <v>#DIV/0!</v>
      </c>
      <c r="AB43" s="17" t="e">
        <f t="shared" si="16"/>
        <v>#DIV/0!</v>
      </c>
      <c r="AC43" s="17" t="e">
        <f t="shared" si="17"/>
        <v>#DIV/0!</v>
      </c>
      <c r="AD43" s="17" t="e">
        <f t="shared" si="18"/>
        <v>#DIV/0!</v>
      </c>
    </row>
    <row r="44" spans="1:30" s="8" customFormat="1" x14ac:dyDescent="0.25">
      <c r="A44" s="128"/>
      <c r="B44" s="128"/>
      <c r="C44" s="128"/>
      <c r="D44" s="128"/>
      <c r="E44" s="128"/>
      <c r="F44" s="128"/>
      <c r="G44" s="128"/>
      <c r="H44" s="128"/>
      <c r="I44" s="128"/>
      <c r="J44" s="128"/>
      <c r="K44" s="128"/>
      <c r="Z44" s="121" t="e">
        <f t="shared" si="14"/>
        <v>#NUM!</v>
      </c>
      <c r="AA44" s="17" t="e">
        <f t="shared" si="15"/>
        <v>#DIV/0!</v>
      </c>
      <c r="AB44" s="17" t="e">
        <f t="shared" si="16"/>
        <v>#DIV/0!</v>
      </c>
      <c r="AC44" s="17" t="e">
        <f t="shared" si="17"/>
        <v>#DIV/0!</v>
      </c>
      <c r="AD44" s="17" t="e">
        <f t="shared" si="18"/>
        <v>#DIV/0!</v>
      </c>
    </row>
    <row r="45" spans="1:30" s="8" customFormat="1" x14ac:dyDescent="0.25">
      <c r="A45" s="128"/>
      <c r="B45" s="128"/>
      <c r="C45" s="128"/>
      <c r="D45" s="128"/>
      <c r="E45" s="128"/>
      <c r="F45" s="128"/>
      <c r="G45" s="128"/>
      <c r="H45" s="128"/>
      <c r="I45" s="128"/>
      <c r="J45" s="128"/>
      <c r="K45" s="128"/>
      <c r="Z45" s="121" t="e">
        <f t="shared" si="14"/>
        <v>#NUM!</v>
      </c>
      <c r="AA45" s="17" t="e">
        <f t="shared" si="15"/>
        <v>#DIV/0!</v>
      </c>
      <c r="AB45" s="17" t="e">
        <f t="shared" si="16"/>
        <v>#DIV/0!</v>
      </c>
      <c r="AC45" s="17" t="e">
        <f t="shared" si="17"/>
        <v>#DIV/0!</v>
      </c>
      <c r="AD45" s="17" t="e">
        <f t="shared" si="18"/>
        <v>#DIV/0!</v>
      </c>
    </row>
    <row r="46" spans="1:30" s="8" customFormat="1" x14ac:dyDescent="0.25">
      <c r="A46" s="128"/>
      <c r="B46" s="128"/>
      <c r="C46" s="128"/>
      <c r="D46" s="128"/>
      <c r="E46" s="128"/>
      <c r="F46" s="128"/>
      <c r="G46" s="128"/>
      <c r="H46" s="128"/>
      <c r="I46" s="128"/>
      <c r="J46" s="128"/>
      <c r="K46" s="128"/>
    </row>
    <row r="47" spans="1:30" s="8" customFormat="1" x14ac:dyDescent="0.25">
      <c r="A47" s="128"/>
      <c r="B47" s="128"/>
      <c r="C47" s="128"/>
      <c r="D47" s="128"/>
      <c r="E47" s="128"/>
      <c r="F47" s="128"/>
      <c r="G47" s="128"/>
      <c r="H47" s="128"/>
      <c r="I47" s="128"/>
      <c r="J47" s="128"/>
      <c r="K47" s="128"/>
    </row>
    <row r="48" spans="1:30" s="8" customFormat="1" x14ac:dyDescent="0.25">
      <c r="A48" s="128"/>
      <c r="B48" s="128"/>
      <c r="C48" s="128"/>
      <c r="D48" s="128"/>
      <c r="E48" s="128"/>
      <c r="F48" s="128"/>
      <c r="G48" s="128"/>
      <c r="H48" s="128"/>
      <c r="I48" s="128"/>
      <c r="J48" s="128"/>
      <c r="K48" s="128"/>
    </row>
    <row r="49" spans="1:11" s="8" customFormat="1" x14ac:dyDescent="0.25">
      <c r="A49" s="128"/>
      <c r="B49" s="128"/>
      <c r="C49" s="128"/>
      <c r="D49" s="128"/>
      <c r="E49" s="128"/>
      <c r="F49" s="128"/>
      <c r="G49" s="128"/>
      <c r="H49" s="128"/>
      <c r="I49" s="128"/>
      <c r="J49" s="128"/>
      <c r="K49" s="128"/>
    </row>
    <row r="50" spans="1:11" s="8" customFormat="1" x14ac:dyDescent="0.25">
      <c r="A50" s="128"/>
      <c r="B50" s="128"/>
      <c r="C50" s="128"/>
      <c r="D50" s="128"/>
      <c r="E50" s="128"/>
      <c r="F50" s="128"/>
      <c r="G50" s="128"/>
      <c r="H50" s="128"/>
      <c r="I50" s="128"/>
      <c r="J50" s="128"/>
      <c r="K50" s="128"/>
    </row>
    <row r="51" spans="1:11" s="8" customFormat="1" x14ac:dyDescent="0.25">
      <c r="A51" s="128"/>
      <c r="B51" s="128"/>
      <c r="C51" s="128"/>
      <c r="D51" s="128"/>
      <c r="E51" s="128"/>
      <c r="F51" s="128"/>
      <c r="G51" s="128"/>
      <c r="H51" s="128"/>
      <c r="I51" s="128"/>
      <c r="J51" s="128"/>
      <c r="K51" s="128"/>
    </row>
    <row r="52" spans="1:11" s="8" customFormat="1" x14ac:dyDescent="0.25">
      <c r="A52" s="128"/>
      <c r="B52" s="128"/>
      <c r="C52" s="128"/>
      <c r="D52" s="128"/>
      <c r="E52" s="128"/>
      <c r="F52" s="128"/>
      <c r="G52" s="128"/>
      <c r="H52" s="128"/>
      <c r="I52" s="128"/>
      <c r="J52" s="128"/>
      <c r="K52" s="128"/>
    </row>
    <row r="53" spans="1:11" s="8" customFormat="1" x14ac:dyDescent="0.25">
      <c r="A53" s="128"/>
      <c r="B53" s="128"/>
      <c r="C53" s="128"/>
      <c r="D53" s="128"/>
      <c r="E53" s="128"/>
      <c r="F53" s="128"/>
      <c r="G53" s="128"/>
      <c r="H53" s="128"/>
      <c r="I53" s="128"/>
      <c r="J53" s="128"/>
      <c r="K53" s="128"/>
    </row>
    <row r="54" spans="1:11" s="8" customFormat="1" x14ac:dyDescent="0.25">
      <c r="A54" s="128"/>
      <c r="B54" s="128"/>
      <c r="C54" s="128"/>
      <c r="D54" s="128"/>
      <c r="E54" s="128"/>
      <c r="F54" s="128"/>
      <c r="G54" s="128"/>
      <c r="H54" s="128"/>
      <c r="I54" s="128"/>
      <c r="J54" s="128"/>
      <c r="K54" s="128"/>
    </row>
    <row r="55" spans="1:11" s="8" customFormat="1" x14ac:dyDescent="0.25">
      <c r="A55" s="128"/>
      <c r="B55" s="128"/>
      <c r="C55" s="128"/>
      <c r="D55" s="128"/>
      <c r="E55" s="128"/>
      <c r="F55" s="128"/>
      <c r="G55" s="128"/>
      <c r="H55" s="128"/>
      <c r="I55" s="128"/>
      <c r="J55" s="128"/>
      <c r="K55" s="128"/>
    </row>
    <row r="56" spans="1:11" s="8" customFormat="1" x14ac:dyDescent="0.25">
      <c r="A56" s="128"/>
      <c r="B56" s="128"/>
      <c r="C56" s="128"/>
      <c r="D56" s="128"/>
      <c r="E56" s="128"/>
      <c r="F56" s="128"/>
      <c r="G56" s="128"/>
      <c r="H56" s="128"/>
      <c r="I56" s="128"/>
      <c r="J56" s="128"/>
      <c r="K56" s="128"/>
    </row>
    <row r="57" spans="1:11" s="8" customFormat="1" x14ac:dyDescent="0.25">
      <c r="A57" s="128"/>
      <c r="B57" s="128"/>
      <c r="C57" s="128"/>
      <c r="D57" s="128"/>
      <c r="E57" s="128"/>
      <c r="F57" s="128"/>
      <c r="G57" s="128"/>
      <c r="H57" s="128"/>
      <c r="I57" s="128"/>
      <c r="J57" s="128"/>
      <c r="K57" s="128"/>
    </row>
    <row r="58" spans="1:11" s="8" customFormat="1" x14ac:dyDescent="0.25">
      <c r="A58" s="128"/>
      <c r="B58" s="128"/>
      <c r="C58" s="128"/>
      <c r="D58" s="128"/>
      <c r="E58" s="128"/>
      <c r="F58" s="128"/>
      <c r="G58" s="128"/>
      <c r="H58" s="128"/>
      <c r="I58" s="128"/>
      <c r="J58" s="128"/>
      <c r="K58" s="128"/>
    </row>
    <row r="59" spans="1:11" s="8" customFormat="1" x14ac:dyDescent="0.25">
      <c r="A59" s="128"/>
      <c r="B59" s="128"/>
      <c r="C59" s="128"/>
      <c r="D59" s="128"/>
      <c r="E59" s="128"/>
      <c r="F59" s="128"/>
      <c r="G59" s="128"/>
      <c r="H59" s="128"/>
      <c r="I59" s="128"/>
      <c r="J59" s="128"/>
      <c r="K59" s="128"/>
    </row>
    <row r="60" spans="1:11" s="8" customFormat="1" x14ac:dyDescent="0.25">
      <c r="A60" s="128"/>
      <c r="B60" s="128"/>
      <c r="C60" s="128"/>
      <c r="D60" s="128"/>
      <c r="E60" s="128"/>
      <c r="F60" s="128"/>
      <c r="G60" s="128"/>
      <c r="H60" s="128"/>
      <c r="I60" s="128"/>
      <c r="J60" s="128"/>
      <c r="K60" s="128"/>
    </row>
    <row r="61" spans="1:11" s="8" customFormat="1" x14ac:dyDescent="0.25">
      <c r="A61" s="128"/>
      <c r="B61" s="128"/>
      <c r="C61" s="128"/>
      <c r="D61" s="128"/>
      <c r="E61" s="128"/>
      <c r="F61" s="128"/>
      <c r="G61" s="128"/>
      <c r="H61" s="128"/>
      <c r="I61" s="128"/>
      <c r="J61" s="128"/>
      <c r="K61" s="128"/>
    </row>
    <row r="62" spans="1:11" s="8" customFormat="1" x14ac:dyDescent="0.25">
      <c r="A62" s="128"/>
      <c r="B62" s="128"/>
      <c r="C62" s="128"/>
      <c r="D62" s="128"/>
      <c r="E62" s="128"/>
      <c r="F62" s="128"/>
      <c r="G62" s="128"/>
      <c r="H62" s="128"/>
      <c r="I62" s="128"/>
      <c r="J62" s="128"/>
      <c r="K62" s="128"/>
    </row>
    <row r="63" spans="1:11" s="8" customFormat="1" x14ac:dyDescent="0.25">
      <c r="A63" s="128"/>
      <c r="B63" s="128"/>
      <c r="C63" s="128"/>
      <c r="D63" s="128"/>
      <c r="E63" s="128"/>
      <c r="F63" s="128"/>
      <c r="G63" s="128"/>
      <c r="H63" s="128"/>
      <c r="I63" s="128"/>
      <c r="J63" s="128"/>
      <c r="K63" s="128"/>
    </row>
    <row r="64" spans="1:11" s="8" customFormat="1" x14ac:dyDescent="0.25">
      <c r="A64" s="128"/>
      <c r="B64" s="128"/>
      <c r="C64" s="128"/>
      <c r="D64" s="128"/>
      <c r="E64" s="128"/>
      <c r="F64" s="128"/>
      <c r="G64" s="128"/>
      <c r="H64" s="128"/>
      <c r="I64" s="128"/>
      <c r="J64" s="128"/>
      <c r="K64" s="128"/>
    </row>
    <row r="65" spans="1:11" s="8" customFormat="1" x14ac:dyDescent="0.25">
      <c r="A65" s="128"/>
      <c r="B65" s="128"/>
      <c r="C65" s="128"/>
      <c r="D65" s="128"/>
      <c r="E65" s="128"/>
      <c r="F65" s="128"/>
      <c r="G65" s="128"/>
      <c r="H65" s="128"/>
      <c r="I65" s="128"/>
      <c r="J65" s="128"/>
      <c r="K65" s="128"/>
    </row>
    <row r="66" spans="1:11" s="8" customFormat="1" x14ac:dyDescent="0.25">
      <c r="A66" s="128"/>
      <c r="B66" s="128"/>
      <c r="C66" s="128"/>
      <c r="D66" s="128"/>
      <c r="E66" s="128"/>
      <c r="F66" s="128"/>
      <c r="G66" s="128"/>
      <c r="H66" s="128"/>
      <c r="I66" s="128"/>
      <c r="J66" s="128"/>
      <c r="K66" s="128"/>
    </row>
    <row r="67" spans="1:11" s="8" customFormat="1" x14ac:dyDescent="0.25">
      <c r="A67" s="128"/>
      <c r="B67" s="128"/>
      <c r="C67" s="128"/>
      <c r="D67" s="128"/>
      <c r="E67" s="128"/>
      <c r="F67" s="128"/>
      <c r="G67" s="128"/>
      <c r="H67" s="128"/>
      <c r="I67" s="128"/>
      <c r="J67" s="128"/>
      <c r="K67" s="128"/>
    </row>
    <row r="68" spans="1:11" s="8" customFormat="1" x14ac:dyDescent="0.25">
      <c r="A68" s="128"/>
      <c r="B68" s="128"/>
      <c r="C68" s="128"/>
      <c r="D68" s="128"/>
      <c r="E68" s="128"/>
      <c r="F68" s="128"/>
      <c r="G68" s="128"/>
      <c r="H68" s="128"/>
      <c r="I68" s="128"/>
      <c r="J68" s="128"/>
      <c r="K68" s="128"/>
    </row>
    <row r="69" spans="1:11" s="8" customFormat="1" x14ac:dyDescent="0.25">
      <c r="A69" s="128"/>
      <c r="B69" s="128"/>
      <c r="C69" s="128"/>
      <c r="D69" s="128"/>
      <c r="E69" s="128"/>
      <c r="F69" s="128"/>
      <c r="G69" s="128"/>
      <c r="H69" s="128"/>
      <c r="I69" s="128"/>
      <c r="J69" s="128"/>
      <c r="K69" s="128"/>
    </row>
    <row r="70" spans="1:11" s="8" customFormat="1" x14ac:dyDescent="0.25">
      <c r="A70" s="128"/>
      <c r="B70" s="128"/>
      <c r="C70" s="128"/>
      <c r="D70" s="128"/>
      <c r="E70" s="128"/>
      <c r="F70" s="128"/>
      <c r="G70" s="128"/>
      <c r="H70" s="128"/>
      <c r="I70" s="128"/>
      <c r="J70" s="128"/>
      <c r="K70" s="128"/>
    </row>
    <row r="71" spans="1:11" s="8" customFormat="1" x14ac:dyDescent="0.25">
      <c r="A71" s="128"/>
      <c r="B71" s="128"/>
      <c r="C71" s="128"/>
      <c r="D71" s="128"/>
      <c r="E71" s="128"/>
      <c r="F71" s="128"/>
      <c r="G71" s="128"/>
      <c r="H71" s="128"/>
      <c r="I71" s="128"/>
      <c r="J71" s="128"/>
      <c r="K71" s="128"/>
    </row>
    <row r="72" spans="1:11" s="8" customFormat="1" x14ac:dyDescent="0.25">
      <c r="A72" s="128"/>
      <c r="B72" s="128"/>
      <c r="C72" s="128"/>
      <c r="D72" s="128"/>
      <c r="E72" s="128"/>
      <c r="F72" s="128"/>
      <c r="G72" s="128"/>
      <c r="H72" s="128"/>
      <c r="I72" s="128"/>
      <c r="J72" s="128"/>
      <c r="K72" s="128"/>
    </row>
    <row r="73" spans="1:11" s="8" customFormat="1" x14ac:dyDescent="0.25">
      <c r="A73" s="128"/>
      <c r="B73" s="128"/>
      <c r="C73" s="128"/>
      <c r="D73" s="128"/>
      <c r="E73" s="128"/>
      <c r="F73" s="128"/>
      <c r="G73" s="128"/>
      <c r="H73" s="128"/>
      <c r="I73" s="128"/>
      <c r="J73" s="128"/>
      <c r="K73" s="128"/>
    </row>
    <row r="74" spans="1:11" s="8" customFormat="1" x14ac:dyDescent="0.25">
      <c r="A74" s="128"/>
      <c r="B74" s="128"/>
      <c r="C74" s="128"/>
      <c r="D74" s="128"/>
      <c r="E74" s="128"/>
      <c r="F74" s="128"/>
      <c r="G74" s="128"/>
      <c r="H74" s="128"/>
      <c r="I74" s="128"/>
      <c r="J74" s="128"/>
      <c r="K74" s="128"/>
    </row>
    <row r="75" spans="1:11" s="8" customFormat="1" x14ac:dyDescent="0.25">
      <c r="A75" s="128"/>
      <c r="B75" s="128"/>
      <c r="C75" s="128"/>
      <c r="D75" s="128"/>
      <c r="E75" s="128"/>
      <c r="F75" s="128"/>
      <c r="G75" s="128"/>
      <c r="H75" s="128"/>
      <c r="I75" s="128"/>
      <c r="J75" s="128"/>
      <c r="K75" s="128"/>
    </row>
    <row r="76" spans="1:11" s="8" customFormat="1" x14ac:dyDescent="0.25">
      <c r="A76" s="128"/>
      <c r="B76" s="128"/>
      <c r="C76" s="128"/>
      <c r="D76" s="128"/>
      <c r="E76" s="128"/>
      <c r="F76" s="128"/>
      <c r="G76" s="128"/>
      <c r="H76" s="128"/>
      <c r="I76" s="128"/>
      <c r="J76" s="128"/>
      <c r="K76" s="128"/>
    </row>
    <row r="77" spans="1:11" s="8" customFormat="1" x14ac:dyDescent="0.25">
      <c r="A77" s="128"/>
      <c r="B77" s="128"/>
      <c r="C77" s="128"/>
      <c r="D77" s="128"/>
      <c r="E77" s="128"/>
      <c r="F77" s="128"/>
      <c r="G77" s="128"/>
      <c r="H77" s="128"/>
      <c r="I77" s="128"/>
      <c r="J77" s="128"/>
      <c r="K77" s="128"/>
    </row>
    <row r="78" spans="1:11" s="8" customFormat="1" x14ac:dyDescent="0.25">
      <c r="A78" s="128"/>
      <c r="B78" s="128"/>
      <c r="C78" s="128"/>
      <c r="D78" s="128"/>
      <c r="E78" s="128"/>
      <c r="F78" s="128"/>
      <c r="G78" s="128"/>
      <c r="H78" s="128"/>
      <c r="I78" s="128"/>
      <c r="J78" s="128"/>
      <c r="K78" s="128"/>
    </row>
    <row r="79" spans="1:11" s="8" customFormat="1" x14ac:dyDescent="0.25">
      <c r="A79" s="128"/>
      <c r="B79" s="128"/>
      <c r="C79" s="128"/>
      <c r="D79" s="128"/>
      <c r="E79" s="128"/>
      <c r="F79" s="128"/>
      <c r="G79" s="128"/>
      <c r="H79" s="128"/>
      <c r="I79" s="128"/>
      <c r="J79" s="128"/>
      <c r="K79" s="128"/>
    </row>
    <row r="80" spans="1:11" s="8" customFormat="1" x14ac:dyDescent="0.25">
      <c r="A80" s="128"/>
      <c r="B80" s="128"/>
      <c r="C80" s="128"/>
      <c r="D80" s="128"/>
      <c r="E80" s="128"/>
      <c r="F80" s="128"/>
      <c r="G80" s="128"/>
      <c r="H80" s="128"/>
      <c r="I80" s="128"/>
      <c r="J80" s="128"/>
      <c r="K80" s="128"/>
    </row>
    <row r="81" spans="1:11" s="8" customFormat="1" x14ac:dyDescent="0.25">
      <c r="A81" s="128"/>
      <c r="B81" s="128"/>
      <c r="C81" s="128"/>
      <c r="D81" s="128"/>
      <c r="E81" s="128"/>
      <c r="F81" s="128"/>
      <c r="G81" s="128"/>
      <c r="H81" s="128"/>
      <c r="I81" s="128"/>
      <c r="J81" s="128"/>
      <c r="K81" s="128"/>
    </row>
    <row r="82" spans="1:11" s="8" customFormat="1" x14ac:dyDescent="0.25">
      <c r="A82" s="128"/>
      <c r="B82" s="128"/>
      <c r="C82" s="128"/>
      <c r="D82" s="128"/>
      <c r="E82" s="128"/>
      <c r="F82" s="128"/>
      <c r="G82" s="128"/>
      <c r="H82" s="128"/>
      <c r="I82" s="128"/>
      <c r="J82" s="128"/>
      <c r="K82" s="128"/>
    </row>
    <row r="83" spans="1:11" s="8" customFormat="1" x14ac:dyDescent="0.25">
      <c r="A83" s="128"/>
      <c r="B83" s="128"/>
      <c r="C83" s="128"/>
      <c r="D83" s="128"/>
      <c r="E83" s="128"/>
      <c r="F83" s="128"/>
      <c r="G83" s="128"/>
      <c r="H83" s="128"/>
      <c r="I83" s="128"/>
      <c r="J83" s="128"/>
      <c r="K83" s="128"/>
    </row>
    <row r="84" spans="1:11" s="8" customFormat="1" x14ac:dyDescent="0.25">
      <c r="A84" s="128"/>
      <c r="B84" s="128"/>
      <c r="C84" s="128"/>
      <c r="D84" s="128"/>
      <c r="E84" s="128"/>
      <c r="F84" s="128"/>
      <c r="G84" s="128"/>
      <c r="H84" s="128"/>
      <c r="I84" s="128"/>
      <c r="J84" s="128"/>
      <c r="K84" s="128"/>
    </row>
    <row r="85" spans="1:11" s="8" customFormat="1" x14ac:dyDescent="0.25">
      <c r="A85" s="128"/>
      <c r="B85" s="128"/>
      <c r="C85" s="128"/>
      <c r="D85" s="128"/>
      <c r="E85" s="128"/>
      <c r="F85" s="128"/>
      <c r="G85" s="128"/>
      <c r="H85" s="128"/>
      <c r="I85" s="128"/>
      <c r="J85" s="128"/>
      <c r="K85" s="128"/>
    </row>
    <row r="86" spans="1:11" s="8" customFormat="1" x14ac:dyDescent="0.25">
      <c r="A86" s="128"/>
      <c r="B86" s="128"/>
      <c r="C86" s="128"/>
      <c r="D86" s="128"/>
      <c r="E86" s="128"/>
      <c r="F86" s="128"/>
      <c r="G86" s="128"/>
      <c r="H86" s="128"/>
      <c r="I86" s="128"/>
      <c r="J86" s="128"/>
      <c r="K86" s="128"/>
    </row>
    <row r="87" spans="1:11" s="8" customFormat="1" x14ac:dyDescent="0.25">
      <c r="A87" s="128"/>
      <c r="B87" s="128"/>
      <c r="C87" s="128"/>
      <c r="D87" s="128"/>
      <c r="E87" s="128"/>
      <c r="F87" s="128"/>
      <c r="G87" s="128"/>
      <c r="H87" s="128"/>
      <c r="I87" s="128"/>
      <c r="J87" s="128"/>
      <c r="K87" s="128"/>
    </row>
    <row r="88" spans="1:11" s="8" customFormat="1" x14ac:dyDescent="0.25">
      <c r="A88" s="128"/>
      <c r="B88" s="128"/>
      <c r="C88" s="128"/>
      <c r="D88" s="128"/>
      <c r="E88" s="128"/>
      <c r="F88" s="128"/>
      <c r="G88" s="128"/>
      <c r="H88" s="128"/>
      <c r="I88" s="128"/>
      <c r="J88" s="128"/>
      <c r="K88" s="128"/>
    </row>
    <row r="89" spans="1:11" s="8" customFormat="1" x14ac:dyDescent="0.25">
      <c r="A89" s="128"/>
      <c r="B89" s="128"/>
      <c r="C89" s="128"/>
      <c r="D89" s="128"/>
      <c r="E89" s="128"/>
      <c r="F89" s="128"/>
      <c r="G89" s="128"/>
      <c r="H89" s="128"/>
      <c r="I89" s="128"/>
      <c r="J89" s="128"/>
      <c r="K89" s="128"/>
    </row>
    <row r="90" spans="1:11" s="8" customFormat="1" x14ac:dyDescent="0.25">
      <c r="A90" s="128"/>
      <c r="B90" s="128"/>
      <c r="C90" s="128"/>
      <c r="D90" s="128"/>
      <c r="E90" s="128"/>
      <c r="F90" s="128"/>
      <c r="G90" s="128"/>
      <c r="H90" s="128"/>
      <c r="I90" s="128"/>
      <c r="J90" s="128"/>
      <c r="K90" s="128"/>
    </row>
    <row r="91" spans="1:11" s="8" customFormat="1" x14ac:dyDescent="0.25">
      <c r="A91" s="128"/>
      <c r="B91" s="128"/>
      <c r="C91" s="128"/>
      <c r="D91" s="128"/>
      <c r="E91" s="128"/>
      <c r="F91" s="128"/>
      <c r="G91" s="128"/>
      <c r="H91" s="128"/>
      <c r="I91" s="128"/>
      <c r="J91" s="128"/>
      <c r="K91" s="128"/>
    </row>
    <row r="92" spans="1:11" s="8" customFormat="1" x14ac:dyDescent="0.25">
      <c r="A92" s="128"/>
      <c r="B92" s="128"/>
      <c r="C92" s="128"/>
      <c r="D92" s="128"/>
      <c r="E92" s="128"/>
      <c r="F92" s="128"/>
      <c r="G92" s="128"/>
      <c r="H92" s="128"/>
      <c r="I92" s="128"/>
      <c r="J92" s="128"/>
      <c r="K92" s="128"/>
    </row>
    <row r="93" spans="1:11" s="8" customFormat="1" x14ac:dyDescent="0.25">
      <c r="A93" s="128"/>
      <c r="B93" s="128"/>
      <c r="C93" s="128"/>
      <c r="D93" s="128"/>
      <c r="E93" s="128"/>
      <c r="F93" s="128"/>
      <c r="G93" s="128"/>
      <c r="H93" s="128"/>
      <c r="I93" s="128"/>
      <c r="J93" s="128"/>
      <c r="K93" s="128"/>
    </row>
  </sheetData>
  <sheetProtection algorithmName="SHA-512" hashValue="OJXZaUqIdTP245GPnMwbiWIAhYR6Fs2fs1pRdplmVglVyaBVfaGZd5QBTYth50ybaYdqvBlsazZPWnVW7YuIPQ==" saltValue="PK+ESfiOBCrOOAgdnTHNcQ==" spinCount="100000" sheet="1" objects="1" scenarios="1"/>
  <sortState xmlns:xlrd2="http://schemas.microsoft.com/office/spreadsheetml/2017/richdata2" ref="E10:H24">
    <sortCondition ref="E10:E24"/>
  </sortState>
  <mergeCells count="2">
    <mergeCell ref="AC30:AD30"/>
    <mergeCell ref="AE29:AF29"/>
  </mergeCells>
  <dataValidations count="1">
    <dataValidation type="list" allowBlank="1" showInputMessage="1" showErrorMessage="1" sqref="D4 D30" xr:uid="{00000000-0002-0000-0100-000000000000}">
      <formula1>$P$41:$P$42</formula1>
    </dataValidation>
  </dataValidations>
  <printOptions gridLines="1"/>
  <pageMargins left="0.7" right="0.7" top="0.75" bottom="0.75" header="0.3" footer="0.3"/>
  <pageSetup scale="3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V652"/>
  <sheetViews>
    <sheetView zoomScale="85" zoomScaleNormal="85" workbookViewId="0">
      <selection activeCell="E27" sqref="E27"/>
    </sheetView>
  </sheetViews>
  <sheetFormatPr defaultColWidth="8.85546875" defaultRowHeight="15" x14ac:dyDescent="0.25"/>
  <cols>
    <col min="1" max="1" width="8.85546875" style="138"/>
    <col min="2" max="2" width="6.5703125" style="138" customWidth="1"/>
    <col min="3" max="3" width="17.28515625" style="138" customWidth="1"/>
    <col min="4" max="4" width="8.85546875" style="138"/>
    <col min="5" max="5" width="13.5703125" style="138" customWidth="1"/>
    <col min="6" max="6" width="13.28515625" style="138" customWidth="1"/>
    <col min="7" max="7" width="15.42578125" style="138" customWidth="1"/>
    <col min="8" max="8" width="11.28515625" style="8" customWidth="1"/>
    <col min="9" max="9" width="8.85546875" style="8" customWidth="1"/>
    <col min="10" max="13" width="8.85546875" style="8"/>
    <col min="14" max="14" width="18.42578125" style="8" customWidth="1"/>
    <col min="15" max="16384" width="8.85546875" style="8"/>
  </cols>
  <sheetData>
    <row r="1" spans="1:22" ht="18" x14ac:dyDescent="0.25">
      <c r="A1" s="127" t="s">
        <v>221</v>
      </c>
      <c r="B1" s="39"/>
      <c r="C1" s="39"/>
      <c r="D1" s="39"/>
      <c r="E1" s="39"/>
      <c r="F1" s="39"/>
      <c r="G1" s="39"/>
      <c r="H1" s="39"/>
    </row>
    <row r="2" spans="1:22" x14ac:dyDescent="0.25">
      <c r="A2" s="39"/>
      <c r="B2" s="39"/>
      <c r="C2" s="39"/>
      <c r="D2" s="39"/>
      <c r="E2" s="39"/>
      <c r="F2" s="39"/>
      <c r="G2" s="39"/>
      <c r="H2" s="39"/>
    </row>
    <row r="3" spans="1:22" ht="18.75" x14ac:dyDescent="0.3">
      <c r="A3" s="205" t="s">
        <v>25</v>
      </c>
      <c r="B3" s="205" t="s">
        <v>26</v>
      </c>
      <c r="C3" s="206" t="s">
        <v>151</v>
      </c>
      <c r="D3" s="206" t="s">
        <v>84</v>
      </c>
      <c r="E3" s="206" t="s">
        <v>19</v>
      </c>
      <c r="F3" s="207" t="s">
        <v>30</v>
      </c>
      <c r="G3" s="8"/>
      <c r="V3" s="30"/>
    </row>
    <row r="4" spans="1:22" x14ac:dyDescent="0.25">
      <c r="A4" s="202">
        <v>1</v>
      </c>
      <c r="B4" s="202">
        <v>1</v>
      </c>
      <c r="C4" s="202" t="s">
        <v>220</v>
      </c>
      <c r="D4" s="202">
        <v>1</v>
      </c>
      <c r="E4" s="208" t="s">
        <v>20</v>
      </c>
      <c r="F4" s="209"/>
      <c r="G4" s="8"/>
      <c r="H4" s="12" t="s">
        <v>81</v>
      </c>
      <c r="I4" s="36" t="s">
        <v>0</v>
      </c>
      <c r="J4" s="36" t="s">
        <v>1</v>
      </c>
      <c r="K4" s="36" t="s">
        <v>2</v>
      </c>
      <c r="L4" s="36" t="s">
        <v>3</v>
      </c>
      <c r="N4" s="37" t="s">
        <v>82</v>
      </c>
      <c r="O4" s="38" t="e">
        <f>AVERAGE(F4:F12)</f>
        <v>#DIV/0!</v>
      </c>
      <c r="V4" s="32"/>
    </row>
    <row r="5" spans="1:22" x14ac:dyDescent="0.25">
      <c r="A5" s="202">
        <v>1</v>
      </c>
      <c r="B5" s="202">
        <v>1</v>
      </c>
      <c r="C5" s="202" t="s">
        <v>220</v>
      </c>
      <c r="D5" s="202">
        <v>1</v>
      </c>
      <c r="E5" s="208" t="s">
        <v>20</v>
      </c>
      <c r="F5" s="209"/>
      <c r="G5" s="8"/>
      <c r="H5" s="39" t="s">
        <v>4</v>
      </c>
      <c r="I5" s="40">
        <f>IF(COUNTBLANK(F4:F12) =9,0,DEVSQ(F4:F12))</f>
        <v>0</v>
      </c>
      <c r="J5" s="41">
        <f>COUNT(F4:F12)-1</f>
        <v>-1</v>
      </c>
      <c r="K5" s="40">
        <f>I5/J5</f>
        <v>0</v>
      </c>
      <c r="L5" s="42" t="e">
        <f>IF((L7 &lt;0),0,L7) +    IF( (L6 &lt;0),0,L6)</f>
        <v>#DIV/0!</v>
      </c>
      <c r="N5" s="37" t="s">
        <v>83</v>
      </c>
      <c r="O5" s="38" t="e">
        <f>SQRT(L5)</f>
        <v>#DIV/0!</v>
      </c>
      <c r="V5" s="32"/>
    </row>
    <row r="6" spans="1:22" x14ac:dyDescent="0.25">
      <c r="A6" s="202">
        <v>1</v>
      </c>
      <c r="B6" s="202">
        <v>1</v>
      </c>
      <c r="C6" s="202" t="s">
        <v>220</v>
      </c>
      <c r="D6" s="202">
        <v>1</v>
      </c>
      <c r="E6" s="208" t="s">
        <v>20</v>
      </c>
      <c r="F6" s="209"/>
      <c r="G6" s="8"/>
      <c r="H6" s="39" t="s">
        <v>6</v>
      </c>
      <c r="I6" s="40">
        <f>I5-(I7)</f>
        <v>0</v>
      </c>
      <c r="J6" s="41">
        <f>J5 - J7</f>
        <v>-1</v>
      </c>
      <c r="K6" s="40">
        <f>I6/J6</f>
        <v>0</v>
      </c>
      <c r="L6" s="40" t="e">
        <f>(K6-K7)/(((COUNT(F4:F6)+COUNT(F7:F9)+COUNT(F10:F12))-(COUNT(F4:F6)^2+COUNT(F7:F9)^2+COUNT(F10:F12)^2)/(COUNT(F4:F6)+COUNT(F7:F9)+COUNT(F10:F12)))/((IF(COUNTBLANK(F4:F6)=3,0,1))+(IF(COUNTBLANK(F7:F9)=3,0,1))+(IF(COUNTBLANK(F10:F12)=3,0,1))-1))</f>
        <v>#DIV/0!</v>
      </c>
      <c r="N6" s="43" t="s">
        <v>31</v>
      </c>
      <c r="O6" s="18" t="e">
        <f>IF(O$5 &lt;=0.62,"pass","fail")</f>
        <v>#DIV/0!</v>
      </c>
      <c r="V6" s="32"/>
    </row>
    <row r="7" spans="1:22" x14ac:dyDescent="0.25">
      <c r="A7" s="202">
        <v>1</v>
      </c>
      <c r="B7" s="202">
        <v>1</v>
      </c>
      <c r="C7" s="202" t="s">
        <v>220</v>
      </c>
      <c r="D7" s="202">
        <v>2</v>
      </c>
      <c r="E7" s="208" t="s">
        <v>20</v>
      </c>
      <c r="F7" s="209"/>
      <c r="G7" s="8"/>
      <c r="H7" s="39" t="s">
        <v>5</v>
      </c>
      <c r="I7" s="40">
        <f>IF(COUNTBLANK(F4:F6)=3,0,DEVSQ(F4:F6))+IF(COUNTBLANK(F7:F9)=3,0,DEVSQ(F7:F9))+IF(COUNTBLANK(F10:F12)=3,0,DEVSQ(F10:F12))</f>
        <v>0</v>
      </c>
      <c r="J7" s="36">
        <f>IF(COUNTBLANK(F4:F6)=3,0,COUNT(F4:F6)-1)+IF(COUNTBLANK(F7:F9)=3,0,COUNT(F7:F9)-1)+IF(COUNTBLANK(F10:F12)=3,0,COUNT(F10:F12)-1)</f>
        <v>0</v>
      </c>
      <c r="K7" s="40" t="e">
        <f>I7/J7</f>
        <v>#DIV/0!</v>
      </c>
      <c r="L7" s="40" t="e">
        <f>K7</f>
        <v>#DIV/0!</v>
      </c>
      <c r="V7" s="32"/>
    </row>
    <row r="8" spans="1:22" x14ac:dyDescent="0.25">
      <c r="A8" s="202">
        <v>1</v>
      </c>
      <c r="B8" s="202">
        <v>1</v>
      </c>
      <c r="C8" s="202" t="s">
        <v>220</v>
      </c>
      <c r="D8" s="202">
        <v>2</v>
      </c>
      <c r="E8" s="208" t="s">
        <v>20</v>
      </c>
      <c r="F8" s="209"/>
      <c r="G8" s="8"/>
      <c r="H8" s="137"/>
      <c r="I8" s="39"/>
      <c r="V8" s="32"/>
    </row>
    <row r="9" spans="1:22" x14ac:dyDescent="0.25">
      <c r="A9" s="202">
        <v>1</v>
      </c>
      <c r="B9" s="202">
        <v>1</v>
      </c>
      <c r="C9" s="202" t="s">
        <v>220</v>
      </c>
      <c r="D9" s="202">
        <v>2</v>
      </c>
      <c r="E9" s="208" t="s">
        <v>20</v>
      </c>
      <c r="F9" s="209"/>
      <c r="G9" s="8"/>
      <c r="H9" s="137"/>
      <c r="I9" s="39"/>
      <c r="V9" s="32"/>
    </row>
    <row r="10" spans="1:22" x14ac:dyDescent="0.25">
      <c r="A10" s="202">
        <v>1</v>
      </c>
      <c r="B10" s="202">
        <v>1</v>
      </c>
      <c r="C10" s="202" t="s">
        <v>220</v>
      </c>
      <c r="D10" s="202">
        <v>3</v>
      </c>
      <c r="E10" s="208" t="s">
        <v>20</v>
      </c>
      <c r="F10" s="209"/>
      <c r="G10" s="8"/>
      <c r="H10" s="137"/>
      <c r="V10" s="32"/>
    </row>
    <row r="11" spans="1:22" x14ac:dyDescent="0.25">
      <c r="A11" s="202">
        <v>1</v>
      </c>
      <c r="B11" s="202">
        <v>1</v>
      </c>
      <c r="C11" s="202" t="s">
        <v>220</v>
      </c>
      <c r="D11" s="202">
        <v>3</v>
      </c>
      <c r="E11" s="208" t="s">
        <v>20</v>
      </c>
      <c r="F11" s="209"/>
      <c r="G11" s="8"/>
      <c r="H11" s="137"/>
      <c r="I11" s="39"/>
      <c r="V11" s="32"/>
    </row>
    <row r="12" spans="1:22" x14ac:dyDescent="0.25">
      <c r="A12" s="202">
        <v>1</v>
      </c>
      <c r="B12" s="202">
        <v>1</v>
      </c>
      <c r="C12" s="202" t="s">
        <v>220</v>
      </c>
      <c r="D12" s="202">
        <v>3</v>
      </c>
      <c r="E12" s="208" t="s">
        <v>20</v>
      </c>
      <c r="F12" s="209"/>
      <c r="G12" s="8"/>
      <c r="H12" s="137"/>
      <c r="I12" s="39"/>
      <c r="V12" s="32"/>
    </row>
    <row r="13" spans="1:22" x14ac:dyDescent="0.25">
      <c r="A13" s="8"/>
      <c r="B13" s="8"/>
      <c r="C13" s="8"/>
      <c r="D13" s="8"/>
      <c r="E13" s="8"/>
      <c r="F13" s="8"/>
      <c r="G13" s="8"/>
      <c r="V13" s="32"/>
    </row>
    <row r="14" spans="1:22" x14ac:dyDescent="0.25">
      <c r="A14" s="8"/>
      <c r="B14" s="8"/>
      <c r="C14" s="8"/>
      <c r="D14" s="8"/>
      <c r="E14" s="8"/>
      <c r="F14" s="8"/>
      <c r="G14" s="8"/>
      <c r="V14" s="32"/>
    </row>
    <row r="15" spans="1:22" ht="18.75" x14ac:dyDescent="0.3">
      <c r="A15" s="127" t="s">
        <v>185</v>
      </c>
      <c r="B15" s="8"/>
      <c r="C15" s="8"/>
      <c r="D15" s="8"/>
      <c r="E15" s="8"/>
      <c r="F15" s="8"/>
      <c r="G15" s="8"/>
      <c r="K15" s="30" t="s">
        <v>105</v>
      </c>
      <c r="L15" s="30"/>
      <c r="M15" s="30"/>
      <c r="R15" s="31"/>
      <c r="S15" s="32"/>
      <c r="T15" s="32"/>
      <c r="U15" s="32"/>
      <c r="V15" s="32"/>
    </row>
    <row r="16" spans="1:22" x14ac:dyDescent="0.25">
      <c r="A16" s="8"/>
      <c r="B16" s="8"/>
      <c r="C16" s="8"/>
      <c r="D16" s="8"/>
      <c r="E16" s="8"/>
      <c r="F16" s="8"/>
      <c r="G16" s="8"/>
      <c r="J16" s="31" t="s">
        <v>25</v>
      </c>
      <c r="K16" s="32" t="s">
        <v>141</v>
      </c>
      <c r="L16" s="32"/>
      <c r="M16" s="32"/>
      <c r="T16" s="32"/>
      <c r="U16" s="32"/>
      <c r="V16" s="32"/>
    </row>
    <row r="17" spans="1:22" x14ac:dyDescent="0.25">
      <c r="A17" s="199" t="s">
        <v>28</v>
      </c>
      <c r="B17" s="97" t="s">
        <v>26</v>
      </c>
      <c r="C17" s="97" t="s">
        <v>151</v>
      </c>
      <c r="D17" s="97" t="s">
        <v>19</v>
      </c>
      <c r="E17" s="200" t="s">
        <v>30</v>
      </c>
      <c r="F17" s="201" t="s">
        <v>67</v>
      </c>
      <c r="G17" s="35" t="s">
        <v>68</v>
      </c>
      <c r="J17" s="31" t="s">
        <v>26</v>
      </c>
      <c r="K17" s="32" t="s">
        <v>143</v>
      </c>
      <c r="L17" s="32"/>
      <c r="M17" s="32"/>
      <c r="T17" s="32"/>
      <c r="U17" s="32"/>
      <c r="V17" s="32"/>
    </row>
    <row r="18" spans="1:22" x14ac:dyDescent="0.25">
      <c r="A18" s="202">
        <v>1</v>
      </c>
      <c r="B18" s="202">
        <v>1</v>
      </c>
      <c r="C18" s="202" t="s">
        <v>14</v>
      </c>
      <c r="D18" s="203" t="s">
        <v>20</v>
      </c>
      <c r="E18" s="204"/>
      <c r="F18" s="18">
        <f>IF(OR(E18&gt;=35,E18="undermined"),1,0)</f>
        <v>0</v>
      </c>
      <c r="G18" s="18" t="str">
        <f>IF(SUM(F18:F23)=6,"pass","fail")</f>
        <v>fail</v>
      </c>
      <c r="J18" s="31" t="s">
        <v>151</v>
      </c>
      <c r="K18" s="32" t="s">
        <v>224</v>
      </c>
      <c r="L18" s="32"/>
      <c r="M18" s="32"/>
      <c r="T18" s="32"/>
      <c r="U18" s="32"/>
      <c r="V18" s="32"/>
    </row>
    <row r="19" spans="1:22" x14ac:dyDescent="0.25">
      <c r="A19" s="202">
        <v>1</v>
      </c>
      <c r="B19" s="202">
        <v>1</v>
      </c>
      <c r="C19" s="202" t="s">
        <v>14</v>
      </c>
      <c r="D19" s="203" t="s">
        <v>20</v>
      </c>
      <c r="E19" s="204"/>
      <c r="F19" s="18">
        <f t="shared" ref="F19:F23" si="0">IF(OR(E19&gt;=35,E19="undermined"),1,0)</f>
        <v>0</v>
      </c>
      <c r="G19" s="34"/>
      <c r="J19" s="31" t="s">
        <v>84</v>
      </c>
      <c r="K19" s="32" t="s">
        <v>142</v>
      </c>
      <c r="L19" s="32"/>
      <c r="M19" s="32"/>
      <c r="T19" s="32"/>
      <c r="U19" s="32"/>
      <c r="V19" s="32"/>
    </row>
    <row r="20" spans="1:22" x14ac:dyDescent="0.25">
      <c r="A20" s="202">
        <v>1</v>
      </c>
      <c r="B20" s="202">
        <v>1</v>
      </c>
      <c r="C20" s="202" t="s">
        <v>14</v>
      </c>
      <c r="D20" s="203" t="s">
        <v>20</v>
      </c>
      <c r="E20" s="204"/>
      <c r="F20" s="18">
        <f t="shared" si="0"/>
        <v>0</v>
      </c>
      <c r="G20" s="34"/>
      <c r="J20" s="31" t="s">
        <v>30</v>
      </c>
      <c r="K20" s="32" t="s">
        <v>136</v>
      </c>
      <c r="L20" s="32"/>
      <c r="M20" s="32"/>
      <c r="T20" s="32"/>
      <c r="U20" s="32"/>
      <c r="V20" s="32"/>
    </row>
    <row r="21" spans="1:22" x14ac:dyDescent="0.25">
      <c r="A21" s="202">
        <v>1</v>
      </c>
      <c r="B21" s="202">
        <v>1</v>
      </c>
      <c r="C21" s="202" t="s">
        <v>14</v>
      </c>
      <c r="D21" s="203" t="s">
        <v>20</v>
      </c>
      <c r="E21" s="204"/>
      <c r="F21" s="18">
        <f t="shared" si="0"/>
        <v>0</v>
      </c>
      <c r="G21" s="34"/>
      <c r="J21" s="31" t="s">
        <v>67</v>
      </c>
      <c r="K21" s="32" t="s">
        <v>145</v>
      </c>
      <c r="L21" s="32"/>
      <c r="M21" s="32"/>
    </row>
    <row r="22" spans="1:22" x14ac:dyDescent="0.25">
      <c r="A22" s="202">
        <v>1</v>
      </c>
      <c r="B22" s="202">
        <v>1</v>
      </c>
      <c r="C22" s="202" t="s">
        <v>14</v>
      </c>
      <c r="D22" s="203" t="s">
        <v>20</v>
      </c>
      <c r="E22" s="204"/>
      <c r="F22" s="18">
        <f t="shared" si="0"/>
        <v>0</v>
      </c>
      <c r="G22" s="34"/>
      <c r="J22" s="31" t="s">
        <v>68</v>
      </c>
      <c r="K22" s="32" t="s">
        <v>144</v>
      </c>
      <c r="L22" s="32"/>
      <c r="M22" s="32"/>
    </row>
    <row r="23" spans="1:22" x14ac:dyDescent="0.25">
      <c r="A23" s="202">
        <v>1</v>
      </c>
      <c r="B23" s="202">
        <v>1</v>
      </c>
      <c r="C23" s="202" t="s">
        <v>14</v>
      </c>
      <c r="D23" s="203" t="s">
        <v>20</v>
      </c>
      <c r="E23" s="204"/>
      <c r="F23" s="18">
        <f t="shared" si="0"/>
        <v>0</v>
      </c>
      <c r="G23" s="34"/>
      <c r="J23" s="31" t="s">
        <v>63</v>
      </c>
      <c r="K23" s="32" t="s">
        <v>223</v>
      </c>
      <c r="L23" s="32"/>
      <c r="M23" s="32"/>
    </row>
    <row r="24" spans="1:22" x14ac:dyDescent="0.25">
      <c r="A24" s="8"/>
      <c r="B24" s="8"/>
      <c r="C24" s="8"/>
      <c r="D24" s="8"/>
      <c r="E24" s="8"/>
      <c r="F24" s="8"/>
      <c r="G24" s="8"/>
      <c r="J24" s="31" t="s">
        <v>31</v>
      </c>
      <c r="K24" s="32" t="s">
        <v>146</v>
      </c>
      <c r="L24" s="32"/>
      <c r="M24" s="32"/>
    </row>
    <row r="25" spans="1:22" x14ac:dyDescent="0.25">
      <c r="A25" s="8"/>
      <c r="B25" s="8"/>
      <c r="C25" s="8"/>
      <c r="D25" s="8"/>
      <c r="E25" s="8"/>
      <c r="F25" s="8"/>
      <c r="G25" s="8"/>
      <c r="J25" s="31" t="s">
        <v>220</v>
      </c>
      <c r="K25" s="32" t="s">
        <v>222</v>
      </c>
      <c r="L25" s="32"/>
      <c r="M25" s="32"/>
    </row>
    <row r="26" spans="1:22" x14ac:dyDescent="0.25">
      <c r="A26" s="8"/>
      <c r="B26" s="8"/>
      <c r="C26" s="8"/>
      <c r="D26" s="8"/>
      <c r="E26" s="8"/>
      <c r="F26" s="8"/>
      <c r="G26" s="8"/>
      <c r="J26" s="31" t="s">
        <v>14</v>
      </c>
      <c r="K26" s="32" t="s">
        <v>147</v>
      </c>
      <c r="L26" s="32"/>
      <c r="M26" s="32"/>
    </row>
    <row r="27" spans="1:22" x14ac:dyDescent="0.25">
      <c r="A27" s="8"/>
      <c r="B27" s="8"/>
      <c r="C27" s="8"/>
      <c r="D27" s="8"/>
      <c r="E27" s="8"/>
      <c r="F27" s="8"/>
      <c r="G27" s="8"/>
    </row>
    <row r="28" spans="1:22" x14ac:dyDescent="0.25">
      <c r="A28" s="8"/>
      <c r="B28" s="8"/>
      <c r="C28" s="8"/>
      <c r="D28" s="8"/>
      <c r="E28" s="8"/>
      <c r="F28" s="8"/>
      <c r="G28" s="8"/>
    </row>
    <row r="29" spans="1:22" x14ac:dyDescent="0.25">
      <c r="A29" s="8"/>
      <c r="B29" s="8"/>
      <c r="C29" s="8"/>
      <c r="D29" s="8"/>
      <c r="E29" s="8"/>
      <c r="F29" s="8"/>
      <c r="G29" s="8"/>
    </row>
    <row r="30" spans="1:22" x14ac:dyDescent="0.25">
      <c r="A30" s="8"/>
      <c r="B30" s="8"/>
      <c r="C30" s="8"/>
      <c r="D30" s="8"/>
      <c r="E30" s="8"/>
      <c r="F30" s="8"/>
      <c r="G30" s="8"/>
    </row>
    <row r="31" spans="1:22" x14ac:dyDescent="0.25">
      <c r="A31" s="8"/>
      <c r="B31" s="8"/>
      <c r="C31" s="8"/>
      <c r="D31" s="8"/>
      <c r="E31" s="8"/>
      <c r="F31" s="8"/>
      <c r="G31" s="8"/>
    </row>
    <row r="32" spans="1:22" x14ac:dyDescent="0.25">
      <c r="A32" s="8"/>
      <c r="B32" s="8"/>
      <c r="C32" s="8"/>
      <c r="D32" s="8"/>
      <c r="E32" s="8"/>
      <c r="F32" s="8"/>
      <c r="G32" s="8"/>
    </row>
    <row r="33" s="8" customFormat="1" x14ac:dyDescent="0.25"/>
    <row r="34" s="8" customFormat="1" x14ac:dyDescent="0.25"/>
    <row r="35" s="8" customFormat="1" x14ac:dyDescent="0.25"/>
    <row r="36" s="8" customFormat="1" x14ac:dyDescent="0.25"/>
    <row r="37" s="8" customFormat="1" x14ac:dyDescent="0.25"/>
    <row r="38" s="8" customFormat="1" x14ac:dyDescent="0.25"/>
    <row r="39" s="8" customFormat="1" x14ac:dyDescent="0.25"/>
    <row r="40" s="8" customFormat="1" x14ac:dyDescent="0.25"/>
    <row r="41" s="8" customFormat="1" x14ac:dyDescent="0.25"/>
    <row r="42" s="8" customFormat="1" x14ac:dyDescent="0.25"/>
    <row r="43" s="8" customFormat="1" x14ac:dyDescent="0.25"/>
    <row r="44" s="8" customFormat="1" x14ac:dyDescent="0.25"/>
    <row r="45" s="8" customFormat="1" x14ac:dyDescent="0.25"/>
    <row r="46" s="8" customFormat="1" x14ac:dyDescent="0.25"/>
    <row r="47" s="8" customFormat="1" x14ac:dyDescent="0.25"/>
    <row r="48" s="8" customFormat="1" x14ac:dyDescent="0.25"/>
    <row r="49" s="8" customFormat="1" x14ac:dyDescent="0.25"/>
    <row r="50" s="8" customFormat="1" x14ac:dyDescent="0.25"/>
    <row r="51" s="8" customFormat="1" x14ac:dyDescent="0.25"/>
    <row r="52" s="8" customFormat="1" x14ac:dyDescent="0.25"/>
    <row r="53" s="8" customFormat="1" x14ac:dyDescent="0.25"/>
    <row r="54" s="8" customFormat="1" x14ac:dyDescent="0.25"/>
    <row r="55" s="8" customFormat="1" x14ac:dyDescent="0.25"/>
    <row r="56" s="8" customFormat="1" x14ac:dyDescent="0.25"/>
    <row r="57" s="8" customFormat="1" x14ac:dyDescent="0.25"/>
    <row r="58" s="8" customFormat="1" x14ac:dyDescent="0.25"/>
    <row r="59" s="8" customFormat="1" x14ac:dyDescent="0.25"/>
    <row r="60" s="8" customFormat="1" x14ac:dyDescent="0.25"/>
    <row r="61" s="8" customFormat="1" x14ac:dyDescent="0.25"/>
    <row r="62" s="8" customFormat="1" x14ac:dyDescent="0.25"/>
    <row r="63" s="8" customFormat="1" x14ac:dyDescent="0.25"/>
    <row r="64" s="8" customFormat="1" x14ac:dyDescent="0.25"/>
    <row r="65" s="8" customFormat="1" x14ac:dyDescent="0.25"/>
    <row r="66" s="8" customFormat="1" x14ac:dyDescent="0.25"/>
    <row r="67" s="8" customFormat="1" x14ac:dyDescent="0.25"/>
    <row r="68" s="8" customFormat="1" x14ac:dyDescent="0.25"/>
    <row r="69" s="8" customFormat="1" x14ac:dyDescent="0.25"/>
    <row r="70" s="8" customFormat="1" x14ac:dyDescent="0.25"/>
    <row r="71" s="8" customFormat="1" x14ac:dyDescent="0.25"/>
    <row r="72" s="8" customFormat="1" x14ac:dyDescent="0.25"/>
    <row r="73" s="8" customFormat="1" x14ac:dyDescent="0.25"/>
    <row r="74" s="8" customFormat="1" x14ac:dyDescent="0.25"/>
    <row r="75" s="8" customFormat="1" x14ac:dyDescent="0.25"/>
    <row r="76" s="8" customFormat="1" x14ac:dyDescent="0.25"/>
    <row r="77" s="8" customFormat="1" x14ac:dyDescent="0.25"/>
    <row r="78" s="8" customFormat="1" x14ac:dyDescent="0.25"/>
    <row r="79" s="8" customFormat="1" x14ac:dyDescent="0.25"/>
    <row r="80" s="8" customFormat="1" x14ac:dyDescent="0.25"/>
    <row r="81" s="8" customFormat="1" x14ac:dyDescent="0.25"/>
    <row r="82" s="8" customFormat="1" x14ac:dyDescent="0.25"/>
    <row r="83" s="8" customFormat="1" x14ac:dyDescent="0.25"/>
    <row r="84" s="8" customFormat="1" x14ac:dyDescent="0.25"/>
    <row r="85" s="8" customFormat="1" x14ac:dyDescent="0.25"/>
    <row r="86" s="8" customFormat="1" x14ac:dyDescent="0.25"/>
    <row r="87" s="8" customFormat="1" x14ac:dyDescent="0.25"/>
    <row r="88" s="8" customFormat="1" x14ac:dyDescent="0.25"/>
    <row r="89" s="8" customFormat="1" x14ac:dyDescent="0.25"/>
    <row r="90" s="8" customFormat="1" x14ac:dyDescent="0.25"/>
    <row r="91" s="8" customFormat="1" x14ac:dyDescent="0.25"/>
    <row r="92" s="8" customFormat="1" x14ac:dyDescent="0.25"/>
    <row r="93" s="8" customFormat="1" x14ac:dyDescent="0.25"/>
    <row r="94" s="8" customFormat="1" x14ac:dyDescent="0.25"/>
    <row r="95" s="8" customFormat="1" x14ac:dyDescent="0.25"/>
    <row r="96" s="8" customFormat="1" x14ac:dyDescent="0.25"/>
    <row r="97" s="8" customFormat="1" x14ac:dyDescent="0.25"/>
    <row r="98" s="8" customFormat="1" x14ac:dyDescent="0.25"/>
    <row r="99" s="8" customFormat="1" x14ac:dyDescent="0.25"/>
    <row r="100" s="8" customFormat="1" x14ac:dyDescent="0.25"/>
    <row r="101" s="8" customFormat="1" x14ac:dyDescent="0.25"/>
    <row r="102" s="8" customFormat="1" x14ac:dyDescent="0.25"/>
    <row r="103" s="8" customFormat="1" x14ac:dyDescent="0.25"/>
    <row r="104" s="8" customFormat="1" x14ac:dyDescent="0.25"/>
    <row r="105" s="8" customFormat="1" x14ac:dyDescent="0.25"/>
    <row r="106" s="8" customFormat="1" x14ac:dyDescent="0.25"/>
    <row r="107" s="8" customFormat="1" x14ac:dyDescent="0.25"/>
    <row r="108" s="8" customFormat="1" x14ac:dyDescent="0.25"/>
    <row r="109" s="8" customFormat="1" x14ac:dyDescent="0.25"/>
    <row r="110" s="8" customFormat="1" x14ac:dyDescent="0.25"/>
    <row r="111" s="8" customFormat="1" x14ac:dyDescent="0.25"/>
    <row r="112" s="8" customFormat="1" x14ac:dyDescent="0.25"/>
    <row r="113" s="8" customFormat="1" x14ac:dyDescent="0.25"/>
    <row r="114" s="8" customFormat="1" x14ac:dyDescent="0.25"/>
    <row r="115" s="8" customFormat="1" x14ac:dyDescent="0.25"/>
    <row r="116" s="8" customFormat="1" x14ac:dyDescent="0.25"/>
    <row r="117" s="8" customFormat="1" x14ac:dyDescent="0.25"/>
    <row r="118" s="8" customFormat="1" x14ac:dyDescent="0.25"/>
    <row r="119" s="8" customFormat="1" x14ac:dyDescent="0.25"/>
    <row r="120" s="8" customFormat="1" x14ac:dyDescent="0.25"/>
    <row r="121" s="8" customFormat="1" x14ac:dyDescent="0.25"/>
    <row r="122" s="8" customFormat="1" x14ac:dyDescent="0.25"/>
    <row r="123" s="8" customFormat="1" x14ac:dyDescent="0.25"/>
    <row r="124" s="8" customFormat="1" x14ac:dyDescent="0.25"/>
    <row r="125" s="8" customFormat="1" x14ac:dyDescent="0.25"/>
    <row r="126" s="8" customFormat="1" x14ac:dyDescent="0.25"/>
    <row r="127" s="8" customFormat="1" x14ac:dyDescent="0.25"/>
    <row r="128" s="8" customFormat="1" x14ac:dyDescent="0.25"/>
    <row r="129" s="8" customFormat="1" x14ac:dyDescent="0.25"/>
    <row r="130" s="8" customFormat="1" x14ac:dyDescent="0.25"/>
    <row r="131" s="8" customFormat="1" x14ac:dyDescent="0.25"/>
    <row r="132" s="8" customFormat="1" x14ac:dyDescent="0.25"/>
    <row r="133" s="8" customFormat="1" x14ac:dyDescent="0.25"/>
    <row r="134" s="8" customFormat="1" x14ac:dyDescent="0.25"/>
    <row r="135" s="8" customFormat="1" x14ac:dyDescent="0.25"/>
    <row r="136" s="8" customFormat="1" x14ac:dyDescent="0.25"/>
    <row r="137" s="8" customFormat="1" x14ac:dyDescent="0.25"/>
    <row r="138" s="8" customFormat="1" x14ac:dyDescent="0.25"/>
    <row r="139" s="8" customFormat="1" x14ac:dyDescent="0.25"/>
    <row r="140" s="8" customFormat="1" x14ac:dyDescent="0.25"/>
    <row r="141" s="8" customFormat="1" x14ac:dyDescent="0.25"/>
    <row r="142" s="8" customFormat="1" x14ac:dyDescent="0.25"/>
    <row r="143" s="8" customFormat="1" x14ac:dyDescent="0.25"/>
    <row r="144" s="8" customFormat="1" x14ac:dyDescent="0.25"/>
    <row r="145" s="8" customFormat="1" x14ac:dyDescent="0.25"/>
    <row r="146" s="8" customFormat="1" x14ac:dyDescent="0.25"/>
    <row r="147" s="8" customFormat="1" x14ac:dyDescent="0.25"/>
    <row r="148" s="8" customFormat="1" x14ac:dyDescent="0.25"/>
    <row r="149" s="8" customFormat="1" x14ac:dyDescent="0.25"/>
    <row r="150" s="8" customFormat="1" x14ac:dyDescent="0.25"/>
    <row r="151" s="8" customFormat="1" x14ac:dyDescent="0.25"/>
    <row r="152" s="8" customFormat="1" x14ac:dyDescent="0.25"/>
    <row r="153" s="8" customFormat="1" x14ac:dyDescent="0.25"/>
    <row r="154" s="8" customFormat="1" x14ac:dyDescent="0.25"/>
    <row r="155" s="8" customFormat="1" x14ac:dyDescent="0.25"/>
    <row r="156" s="8" customFormat="1" x14ac:dyDescent="0.25"/>
    <row r="157" s="8" customFormat="1" x14ac:dyDescent="0.25"/>
    <row r="158" s="8" customFormat="1" x14ac:dyDescent="0.25"/>
    <row r="159" s="8" customFormat="1" x14ac:dyDescent="0.25"/>
    <row r="160" s="8" customFormat="1" x14ac:dyDescent="0.25"/>
    <row r="161" s="8" customFormat="1" x14ac:dyDescent="0.25"/>
    <row r="162" s="8" customFormat="1" x14ac:dyDescent="0.25"/>
    <row r="163" s="8" customFormat="1" x14ac:dyDescent="0.25"/>
    <row r="164" s="8" customFormat="1" x14ac:dyDescent="0.25"/>
    <row r="165" s="8" customFormat="1" x14ac:dyDescent="0.25"/>
    <row r="166" s="8" customFormat="1" x14ac:dyDescent="0.25"/>
    <row r="167" s="8" customFormat="1" x14ac:dyDescent="0.25"/>
    <row r="168" s="8" customFormat="1" x14ac:dyDescent="0.25"/>
    <row r="169" s="8" customFormat="1" x14ac:dyDescent="0.25"/>
    <row r="170" s="8" customFormat="1" x14ac:dyDescent="0.25"/>
    <row r="171" s="8" customFormat="1" x14ac:dyDescent="0.25"/>
    <row r="172" s="8" customFormat="1" x14ac:dyDescent="0.25"/>
    <row r="173" s="8" customFormat="1" x14ac:dyDescent="0.25"/>
    <row r="174" s="8" customFormat="1" x14ac:dyDescent="0.25"/>
    <row r="175" s="8" customFormat="1" x14ac:dyDescent="0.25"/>
    <row r="176" s="8" customFormat="1" x14ac:dyDescent="0.25"/>
    <row r="177" s="8" customFormat="1" x14ac:dyDescent="0.25"/>
    <row r="178" s="8" customFormat="1" x14ac:dyDescent="0.25"/>
    <row r="179" s="8" customFormat="1" x14ac:dyDescent="0.25"/>
    <row r="180" s="8" customFormat="1" x14ac:dyDescent="0.25"/>
    <row r="181" s="8" customFormat="1" x14ac:dyDescent="0.25"/>
    <row r="182" s="8" customFormat="1" x14ac:dyDescent="0.25"/>
    <row r="183" s="8" customFormat="1" x14ac:dyDescent="0.25"/>
    <row r="184" s="8" customFormat="1" x14ac:dyDescent="0.25"/>
    <row r="185" s="8" customFormat="1" x14ac:dyDescent="0.25"/>
    <row r="186" s="8" customFormat="1" x14ac:dyDescent="0.25"/>
    <row r="187" s="8" customFormat="1" x14ac:dyDescent="0.25"/>
    <row r="188" s="8" customFormat="1" x14ac:dyDescent="0.25"/>
    <row r="189" s="8" customFormat="1" x14ac:dyDescent="0.25"/>
    <row r="190" s="8" customFormat="1" x14ac:dyDescent="0.25"/>
    <row r="191" s="8" customFormat="1" x14ac:dyDescent="0.25"/>
    <row r="192" s="8" customFormat="1" x14ac:dyDescent="0.25"/>
    <row r="193" s="8" customFormat="1" x14ac:dyDescent="0.25"/>
    <row r="194" s="8" customFormat="1" x14ac:dyDescent="0.25"/>
    <row r="195" s="8" customFormat="1" x14ac:dyDescent="0.25"/>
    <row r="196" s="8" customFormat="1" x14ac:dyDescent="0.25"/>
    <row r="197" s="8" customFormat="1" x14ac:dyDescent="0.25"/>
    <row r="198" s="8" customFormat="1" x14ac:dyDescent="0.25"/>
    <row r="199" s="8" customFormat="1" x14ac:dyDescent="0.25"/>
    <row r="200" s="8" customFormat="1" x14ac:dyDescent="0.25"/>
    <row r="201" s="8" customFormat="1" x14ac:dyDescent="0.25"/>
    <row r="202" s="8" customFormat="1" x14ac:dyDescent="0.25"/>
    <row r="203" s="8" customFormat="1" x14ac:dyDescent="0.25"/>
    <row r="204" s="8" customFormat="1" x14ac:dyDescent="0.25"/>
    <row r="205" s="8" customFormat="1" x14ac:dyDescent="0.25"/>
    <row r="206" s="8" customFormat="1" x14ac:dyDescent="0.25"/>
    <row r="207" s="8" customFormat="1" x14ac:dyDescent="0.25"/>
    <row r="208" s="8" customFormat="1" x14ac:dyDescent="0.25"/>
    <row r="209" s="8" customFormat="1" x14ac:dyDescent="0.25"/>
    <row r="210" s="8" customFormat="1" x14ac:dyDescent="0.25"/>
    <row r="211" s="8" customFormat="1" x14ac:dyDescent="0.25"/>
    <row r="212" s="8" customFormat="1" x14ac:dyDescent="0.25"/>
    <row r="213" s="8" customFormat="1" x14ac:dyDescent="0.25"/>
    <row r="214" s="8" customFormat="1" x14ac:dyDescent="0.25"/>
    <row r="215" s="8" customFormat="1" x14ac:dyDescent="0.25"/>
    <row r="216" s="8" customFormat="1" x14ac:dyDescent="0.25"/>
    <row r="217" s="8" customFormat="1" x14ac:dyDescent="0.25"/>
    <row r="218" s="8" customFormat="1" x14ac:dyDescent="0.25"/>
    <row r="219" s="8" customFormat="1" x14ac:dyDescent="0.25"/>
    <row r="220" s="8" customFormat="1" x14ac:dyDescent="0.25"/>
    <row r="221" s="8" customFormat="1" x14ac:dyDescent="0.25"/>
    <row r="222" s="8" customFormat="1" x14ac:dyDescent="0.25"/>
    <row r="223" s="8" customFormat="1" x14ac:dyDescent="0.25"/>
    <row r="224" s="8" customFormat="1" x14ac:dyDescent="0.25"/>
    <row r="225" s="8" customFormat="1" x14ac:dyDescent="0.25"/>
    <row r="226" s="8" customFormat="1" x14ac:dyDescent="0.25"/>
    <row r="227" s="8" customFormat="1" x14ac:dyDescent="0.25"/>
    <row r="228" s="8" customFormat="1" x14ac:dyDescent="0.25"/>
    <row r="229" s="8" customFormat="1" x14ac:dyDescent="0.25"/>
    <row r="230" s="8" customFormat="1" x14ac:dyDescent="0.25"/>
    <row r="231" s="8" customFormat="1" x14ac:dyDescent="0.25"/>
    <row r="232" s="8" customFormat="1" x14ac:dyDescent="0.25"/>
    <row r="233" s="8" customFormat="1" x14ac:dyDescent="0.25"/>
    <row r="234" s="8" customFormat="1" x14ac:dyDescent="0.25"/>
    <row r="235" s="8" customFormat="1" x14ac:dyDescent="0.25"/>
    <row r="236" s="8" customFormat="1" x14ac:dyDescent="0.25"/>
    <row r="237" s="8" customFormat="1" x14ac:dyDescent="0.25"/>
    <row r="238" s="8" customFormat="1" x14ac:dyDescent="0.25"/>
    <row r="239" s="8" customFormat="1" x14ac:dyDescent="0.25"/>
    <row r="240" s="8" customFormat="1" x14ac:dyDescent="0.25"/>
    <row r="241" s="8" customFormat="1" x14ac:dyDescent="0.25"/>
    <row r="242" s="8" customFormat="1" x14ac:dyDescent="0.25"/>
    <row r="243" s="8" customFormat="1" x14ac:dyDescent="0.25"/>
    <row r="244" s="8" customFormat="1" x14ac:dyDescent="0.25"/>
    <row r="245" s="8" customFormat="1" x14ac:dyDescent="0.25"/>
    <row r="246" s="8" customFormat="1" x14ac:dyDescent="0.25"/>
    <row r="247" s="8" customFormat="1" x14ac:dyDescent="0.25"/>
    <row r="248" s="8" customFormat="1" x14ac:dyDescent="0.25"/>
    <row r="249" s="8" customFormat="1" x14ac:dyDescent="0.25"/>
    <row r="250" s="8" customFormat="1" x14ac:dyDescent="0.25"/>
    <row r="251" s="8" customFormat="1" x14ac:dyDescent="0.25"/>
    <row r="252" s="8" customFormat="1" x14ac:dyDescent="0.25"/>
    <row r="253" s="8" customFormat="1" x14ac:dyDescent="0.25"/>
    <row r="254" s="8" customFormat="1" x14ac:dyDescent="0.25"/>
    <row r="255" s="8" customFormat="1" x14ac:dyDescent="0.25"/>
    <row r="256" s="8" customFormat="1" x14ac:dyDescent="0.25"/>
    <row r="257" s="8" customFormat="1" x14ac:dyDescent="0.25"/>
    <row r="258" s="8" customFormat="1" x14ac:dyDescent="0.25"/>
    <row r="259" s="8" customFormat="1" x14ac:dyDescent="0.25"/>
    <row r="260" s="8" customFormat="1" x14ac:dyDescent="0.25"/>
    <row r="261" s="8" customFormat="1" x14ac:dyDescent="0.25"/>
    <row r="262" s="8" customFormat="1" x14ac:dyDescent="0.25"/>
    <row r="263" s="8" customFormat="1" x14ac:dyDescent="0.25"/>
    <row r="264" s="8" customFormat="1" x14ac:dyDescent="0.25"/>
    <row r="265" s="8" customFormat="1" x14ac:dyDescent="0.25"/>
    <row r="266" s="8" customFormat="1" x14ac:dyDescent="0.25"/>
    <row r="267" s="8" customFormat="1" x14ac:dyDescent="0.25"/>
    <row r="268" s="8" customFormat="1" x14ac:dyDescent="0.25"/>
    <row r="269" s="8" customFormat="1" x14ac:dyDescent="0.25"/>
    <row r="270" s="8" customFormat="1" x14ac:dyDescent="0.25"/>
    <row r="271" s="8" customFormat="1" x14ac:dyDescent="0.25"/>
    <row r="272" s="8" customFormat="1" x14ac:dyDescent="0.25"/>
    <row r="273" s="8" customFormat="1" x14ac:dyDescent="0.25"/>
    <row r="274" s="8" customFormat="1" x14ac:dyDescent="0.25"/>
    <row r="275" s="8" customFormat="1" x14ac:dyDescent="0.25"/>
    <row r="276" s="8" customFormat="1" x14ac:dyDescent="0.25"/>
    <row r="277" s="8" customFormat="1" x14ac:dyDescent="0.25"/>
    <row r="278" s="8" customFormat="1" x14ac:dyDescent="0.25"/>
    <row r="279" s="8" customFormat="1" x14ac:dyDescent="0.25"/>
    <row r="280" s="8" customFormat="1" x14ac:dyDescent="0.25"/>
    <row r="281" s="8" customFormat="1" x14ac:dyDescent="0.25"/>
    <row r="282" s="8" customFormat="1" x14ac:dyDescent="0.25"/>
    <row r="283" s="8" customFormat="1" x14ac:dyDescent="0.25"/>
    <row r="284" s="8" customFormat="1" x14ac:dyDescent="0.25"/>
    <row r="285" s="8" customFormat="1" x14ac:dyDescent="0.25"/>
    <row r="286" s="8" customFormat="1" x14ac:dyDescent="0.25"/>
    <row r="287" s="8" customFormat="1" x14ac:dyDescent="0.25"/>
    <row r="288" s="8" customFormat="1" x14ac:dyDescent="0.25"/>
    <row r="289" s="8" customFormat="1" x14ac:dyDescent="0.25"/>
    <row r="290" s="8" customFormat="1" x14ac:dyDescent="0.25"/>
    <row r="291" s="8" customFormat="1" x14ac:dyDescent="0.25"/>
    <row r="292" s="8" customFormat="1" x14ac:dyDescent="0.25"/>
    <row r="293" s="8" customFormat="1" x14ac:dyDescent="0.25"/>
    <row r="294" s="8" customFormat="1" x14ac:dyDescent="0.25"/>
    <row r="295" s="8" customFormat="1" x14ac:dyDescent="0.25"/>
    <row r="296" s="8" customFormat="1" x14ac:dyDescent="0.25"/>
    <row r="297" s="8" customFormat="1" x14ac:dyDescent="0.25"/>
    <row r="298" s="8" customFormat="1" x14ac:dyDescent="0.25"/>
    <row r="299" s="8" customFormat="1" x14ac:dyDescent="0.25"/>
    <row r="300" s="8" customFormat="1" x14ac:dyDescent="0.25"/>
    <row r="301" s="8" customFormat="1" x14ac:dyDescent="0.25"/>
    <row r="302" s="8" customFormat="1" x14ac:dyDescent="0.25"/>
    <row r="303" s="8" customFormat="1" x14ac:dyDescent="0.25"/>
    <row r="304" s="8" customFormat="1" x14ac:dyDescent="0.25"/>
    <row r="305" s="8" customFormat="1" x14ac:dyDescent="0.25"/>
    <row r="306" s="8" customFormat="1" x14ac:dyDescent="0.25"/>
    <row r="307" s="8" customFormat="1" x14ac:dyDescent="0.25"/>
    <row r="308" s="8" customFormat="1" x14ac:dyDescent="0.25"/>
    <row r="309" s="8" customFormat="1" x14ac:dyDescent="0.25"/>
    <row r="310" s="8" customFormat="1" x14ac:dyDescent="0.25"/>
    <row r="311" s="8" customFormat="1" x14ac:dyDescent="0.25"/>
    <row r="312" s="8" customFormat="1" x14ac:dyDescent="0.25"/>
    <row r="313" s="8" customFormat="1" x14ac:dyDescent="0.25"/>
    <row r="314" s="8" customFormat="1" x14ac:dyDescent="0.25"/>
    <row r="315" s="8" customFormat="1" x14ac:dyDescent="0.25"/>
    <row r="316" s="8" customFormat="1" x14ac:dyDescent="0.25"/>
    <row r="317" s="8" customFormat="1" x14ac:dyDescent="0.25"/>
    <row r="318" s="8" customFormat="1" x14ac:dyDescent="0.25"/>
    <row r="319" s="8" customFormat="1" x14ac:dyDescent="0.25"/>
    <row r="320" s="8" customFormat="1" x14ac:dyDescent="0.25"/>
    <row r="321" s="8" customFormat="1" x14ac:dyDescent="0.25"/>
    <row r="322" s="8" customFormat="1" x14ac:dyDescent="0.25"/>
    <row r="323" s="8" customFormat="1" x14ac:dyDescent="0.25"/>
    <row r="324" s="8" customFormat="1" x14ac:dyDescent="0.25"/>
    <row r="325" s="8" customFormat="1" x14ac:dyDescent="0.25"/>
    <row r="326" s="8" customFormat="1" x14ac:dyDescent="0.25"/>
    <row r="327" s="8" customFormat="1" x14ac:dyDescent="0.25"/>
    <row r="328" s="8" customFormat="1" x14ac:dyDescent="0.25"/>
    <row r="329" s="8" customFormat="1" x14ac:dyDescent="0.25"/>
    <row r="330" s="8" customFormat="1" x14ac:dyDescent="0.25"/>
    <row r="331" s="8" customFormat="1" x14ac:dyDescent="0.25"/>
    <row r="332" s="8" customFormat="1" x14ac:dyDescent="0.25"/>
    <row r="333" s="8" customFormat="1" x14ac:dyDescent="0.25"/>
    <row r="334" s="8" customFormat="1" x14ac:dyDescent="0.25"/>
    <row r="335" s="8" customFormat="1" x14ac:dyDescent="0.25"/>
    <row r="336" s="8" customFormat="1" x14ac:dyDescent="0.25"/>
    <row r="337" s="8" customFormat="1" x14ac:dyDescent="0.25"/>
    <row r="338" s="8" customFormat="1" x14ac:dyDescent="0.25"/>
    <row r="339" s="8" customFormat="1" x14ac:dyDescent="0.25"/>
    <row r="340" s="8" customFormat="1" x14ac:dyDescent="0.25"/>
    <row r="341" s="8" customFormat="1" x14ac:dyDescent="0.25"/>
    <row r="342" s="8" customFormat="1" x14ac:dyDescent="0.25"/>
    <row r="343" s="8" customFormat="1" x14ac:dyDescent="0.25"/>
    <row r="344" s="8" customFormat="1" x14ac:dyDescent="0.25"/>
    <row r="345" s="8" customFormat="1" x14ac:dyDescent="0.25"/>
    <row r="346" s="8" customFormat="1" x14ac:dyDescent="0.25"/>
    <row r="347" s="8" customFormat="1" x14ac:dyDescent="0.25"/>
    <row r="348" s="8" customFormat="1" x14ac:dyDescent="0.25"/>
    <row r="349" s="8" customFormat="1" x14ac:dyDescent="0.25"/>
    <row r="350" s="8" customFormat="1" x14ac:dyDescent="0.25"/>
    <row r="351" s="8" customFormat="1" x14ac:dyDescent="0.25"/>
    <row r="352" s="8" customFormat="1" x14ac:dyDescent="0.25"/>
    <row r="353" s="8" customFormat="1" x14ac:dyDescent="0.25"/>
    <row r="354" s="8" customFormat="1" x14ac:dyDescent="0.25"/>
    <row r="355" s="8" customFormat="1" x14ac:dyDescent="0.25"/>
    <row r="356" s="8" customFormat="1" x14ac:dyDescent="0.25"/>
    <row r="357" s="8" customFormat="1" x14ac:dyDescent="0.25"/>
    <row r="358" s="8" customFormat="1" x14ac:dyDescent="0.25"/>
    <row r="359" s="8" customFormat="1" x14ac:dyDescent="0.25"/>
    <row r="360" s="8" customFormat="1" x14ac:dyDescent="0.25"/>
    <row r="361" s="8" customFormat="1" x14ac:dyDescent="0.25"/>
    <row r="362" s="8" customFormat="1" x14ac:dyDescent="0.25"/>
    <row r="363" s="8" customFormat="1" x14ac:dyDescent="0.25"/>
    <row r="364" s="8" customFormat="1" x14ac:dyDescent="0.25"/>
    <row r="365" s="8" customFormat="1" x14ac:dyDescent="0.25"/>
    <row r="366" s="8" customFormat="1" x14ac:dyDescent="0.25"/>
    <row r="367" s="8" customFormat="1" x14ac:dyDescent="0.25"/>
    <row r="368" s="8" customFormat="1" x14ac:dyDescent="0.25"/>
    <row r="369" s="8" customFormat="1" x14ac:dyDescent="0.25"/>
    <row r="370" s="8" customFormat="1" x14ac:dyDescent="0.25"/>
    <row r="371" s="8" customFormat="1" x14ac:dyDescent="0.25"/>
    <row r="372" s="8" customFormat="1" x14ac:dyDescent="0.25"/>
    <row r="373" s="8" customFormat="1" x14ac:dyDescent="0.25"/>
    <row r="374" s="8" customFormat="1" x14ac:dyDescent="0.25"/>
    <row r="375" s="8" customFormat="1" x14ac:dyDescent="0.25"/>
    <row r="376" s="8" customFormat="1" x14ac:dyDescent="0.25"/>
    <row r="377" s="8" customFormat="1" x14ac:dyDescent="0.25"/>
    <row r="378" s="8" customFormat="1" x14ac:dyDescent="0.25"/>
    <row r="379" s="8" customFormat="1" x14ac:dyDescent="0.25"/>
    <row r="380" s="8" customFormat="1" x14ac:dyDescent="0.25"/>
    <row r="381" s="8" customFormat="1" x14ac:dyDescent="0.25"/>
    <row r="382" s="8" customFormat="1" x14ac:dyDescent="0.25"/>
    <row r="383" s="8" customFormat="1" x14ac:dyDescent="0.25"/>
    <row r="384" s="8" customFormat="1" x14ac:dyDescent="0.25"/>
    <row r="385" s="8" customFormat="1" x14ac:dyDescent="0.25"/>
    <row r="386" s="8" customFormat="1" x14ac:dyDescent="0.25"/>
    <row r="387" s="8" customFormat="1" x14ac:dyDescent="0.25"/>
    <row r="388" s="8" customFormat="1" x14ac:dyDescent="0.25"/>
    <row r="389" s="8" customFormat="1" x14ac:dyDescent="0.25"/>
    <row r="390" s="8" customFormat="1" x14ac:dyDescent="0.25"/>
    <row r="391" s="8" customFormat="1" x14ac:dyDescent="0.25"/>
    <row r="392" s="8" customFormat="1" x14ac:dyDescent="0.25"/>
    <row r="393" s="8" customFormat="1" x14ac:dyDescent="0.25"/>
    <row r="394" s="8" customFormat="1" x14ac:dyDescent="0.25"/>
    <row r="395" s="8" customFormat="1" x14ac:dyDescent="0.25"/>
    <row r="396" s="8" customFormat="1" x14ac:dyDescent="0.25"/>
    <row r="397" s="8" customFormat="1" x14ac:dyDescent="0.25"/>
    <row r="398" s="8" customFormat="1" x14ac:dyDescent="0.25"/>
    <row r="399" s="8" customFormat="1" x14ac:dyDescent="0.25"/>
    <row r="400" s="8" customFormat="1" x14ac:dyDescent="0.25"/>
    <row r="401" s="8" customFormat="1" x14ac:dyDescent="0.25"/>
    <row r="402" s="8" customFormat="1" x14ac:dyDescent="0.25"/>
    <row r="403" s="8" customFormat="1" x14ac:dyDescent="0.25"/>
    <row r="404" s="8" customFormat="1" x14ac:dyDescent="0.25"/>
    <row r="405" s="8" customFormat="1" x14ac:dyDescent="0.25"/>
    <row r="406" s="8" customFormat="1" x14ac:dyDescent="0.25"/>
    <row r="407" s="8" customFormat="1" x14ac:dyDescent="0.25"/>
    <row r="408" s="8" customFormat="1" x14ac:dyDescent="0.25"/>
    <row r="409" s="8" customFormat="1" x14ac:dyDescent="0.25"/>
    <row r="410" s="8" customFormat="1" x14ac:dyDescent="0.25"/>
    <row r="411" s="8" customFormat="1" x14ac:dyDescent="0.25"/>
    <row r="412" s="8" customFormat="1" x14ac:dyDescent="0.25"/>
    <row r="413" s="8" customFormat="1" x14ac:dyDescent="0.25"/>
    <row r="414" s="8" customFormat="1" x14ac:dyDescent="0.25"/>
    <row r="415" s="8" customFormat="1" x14ac:dyDescent="0.25"/>
    <row r="416" s="8" customFormat="1" x14ac:dyDescent="0.25"/>
    <row r="417" s="8" customFormat="1" x14ac:dyDescent="0.25"/>
    <row r="418" s="8" customFormat="1" x14ac:dyDescent="0.25"/>
    <row r="419" s="8" customFormat="1" x14ac:dyDescent="0.25"/>
    <row r="420" s="8" customFormat="1" x14ac:dyDescent="0.25"/>
    <row r="421" s="8" customFormat="1" x14ac:dyDescent="0.25"/>
    <row r="422" s="8" customFormat="1" x14ac:dyDescent="0.25"/>
    <row r="423" s="8" customFormat="1" x14ac:dyDescent="0.25"/>
    <row r="424" s="8" customFormat="1" x14ac:dyDescent="0.25"/>
    <row r="425" s="8" customFormat="1" x14ac:dyDescent="0.25"/>
    <row r="426" s="8" customFormat="1" x14ac:dyDescent="0.25"/>
    <row r="427" s="8" customFormat="1" x14ac:dyDescent="0.25"/>
    <row r="428" s="8" customFormat="1" x14ac:dyDescent="0.25"/>
    <row r="429" s="8" customFormat="1" x14ac:dyDescent="0.25"/>
    <row r="430" s="8" customFormat="1" x14ac:dyDescent="0.25"/>
    <row r="431" s="8" customFormat="1" x14ac:dyDescent="0.25"/>
    <row r="432" s="8" customFormat="1" x14ac:dyDescent="0.25"/>
    <row r="433" s="8" customFormat="1" x14ac:dyDescent="0.25"/>
    <row r="434" s="8" customFormat="1" x14ac:dyDescent="0.25"/>
    <row r="435" s="8" customFormat="1" x14ac:dyDescent="0.25"/>
    <row r="436" s="8" customFormat="1" x14ac:dyDescent="0.25"/>
    <row r="437" s="8" customFormat="1" x14ac:dyDescent="0.25"/>
    <row r="438" s="8" customFormat="1" x14ac:dyDescent="0.25"/>
    <row r="439" s="8" customFormat="1" x14ac:dyDescent="0.25"/>
    <row r="440" s="8" customFormat="1" x14ac:dyDescent="0.25"/>
    <row r="441" s="8" customFormat="1" x14ac:dyDescent="0.25"/>
    <row r="442" s="8" customFormat="1" x14ac:dyDescent="0.25"/>
    <row r="443" s="8" customFormat="1" x14ac:dyDescent="0.25"/>
    <row r="444" s="8" customFormat="1" x14ac:dyDescent="0.25"/>
    <row r="445" s="8" customFormat="1" x14ac:dyDescent="0.25"/>
    <row r="446" s="8" customFormat="1" x14ac:dyDescent="0.25"/>
    <row r="447" s="8" customFormat="1" x14ac:dyDescent="0.25"/>
    <row r="448" s="8" customFormat="1" x14ac:dyDescent="0.25"/>
    <row r="449" s="8" customFormat="1" x14ac:dyDescent="0.25"/>
    <row r="450" s="8" customFormat="1" x14ac:dyDescent="0.25"/>
    <row r="451" s="8" customFormat="1" x14ac:dyDescent="0.25"/>
    <row r="452" s="8" customFormat="1" x14ac:dyDescent="0.25"/>
    <row r="453" s="8" customFormat="1" x14ac:dyDescent="0.25"/>
    <row r="454" s="8" customFormat="1" x14ac:dyDescent="0.25"/>
    <row r="455" s="8" customFormat="1" x14ac:dyDescent="0.25"/>
    <row r="456" s="8" customFormat="1" x14ac:dyDescent="0.25"/>
    <row r="457" s="8" customFormat="1" x14ac:dyDescent="0.25"/>
    <row r="458" s="8" customFormat="1" x14ac:dyDescent="0.25"/>
    <row r="459" s="8" customFormat="1" x14ac:dyDescent="0.25"/>
    <row r="460" s="8" customFormat="1" x14ac:dyDescent="0.25"/>
    <row r="461" s="8" customFormat="1" x14ac:dyDescent="0.25"/>
    <row r="462" s="8" customFormat="1" x14ac:dyDescent="0.25"/>
    <row r="463" s="8" customFormat="1" x14ac:dyDescent="0.25"/>
    <row r="464" s="8" customFormat="1" x14ac:dyDescent="0.25"/>
    <row r="465" s="8" customFormat="1" x14ac:dyDescent="0.25"/>
    <row r="466" s="8" customFormat="1" x14ac:dyDescent="0.25"/>
    <row r="467" s="8" customFormat="1" x14ac:dyDescent="0.25"/>
    <row r="468" s="8" customFormat="1" x14ac:dyDescent="0.25"/>
    <row r="469" s="8" customFormat="1" x14ac:dyDescent="0.25"/>
    <row r="470" s="8" customFormat="1" x14ac:dyDescent="0.25"/>
    <row r="471" s="8" customFormat="1" x14ac:dyDescent="0.25"/>
    <row r="472" s="8" customFormat="1" x14ac:dyDescent="0.25"/>
    <row r="473" s="8" customFormat="1" x14ac:dyDescent="0.25"/>
    <row r="474" s="8" customFormat="1" x14ac:dyDescent="0.25"/>
    <row r="475" s="8" customFormat="1" x14ac:dyDescent="0.25"/>
    <row r="476" s="8" customFormat="1" x14ac:dyDescent="0.25"/>
    <row r="477" s="8" customFormat="1" x14ac:dyDescent="0.25"/>
    <row r="478" s="8" customFormat="1" x14ac:dyDescent="0.25"/>
    <row r="479" s="8" customFormat="1" x14ac:dyDescent="0.25"/>
    <row r="480" s="8" customFormat="1" x14ac:dyDescent="0.25"/>
    <row r="481" s="8" customFormat="1" x14ac:dyDescent="0.25"/>
    <row r="482" s="8" customFormat="1" x14ac:dyDescent="0.25"/>
    <row r="483" s="8" customFormat="1" x14ac:dyDescent="0.25"/>
    <row r="484" s="8" customFormat="1" x14ac:dyDescent="0.25"/>
    <row r="485" s="8" customFormat="1" x14ac:dyDescent="0.25"/>
    <row r="486" s="8" customFormat="1" x14ac:dyDescent="0.25"/>
    <row r="487" s="8" customFormat="1" x14ac:dyDescent="0.25"/>
    <row r="488" s="8" customFormat="1" x14ac:dyDescent="0.25"/>
    <row r="489" s="8" customFormat="1" x14ac:dyDescent="0.25"/>
    <row r="490" s="8" customFormat="1" x14ac:dyDescent="0.25"/>
    <row r="491" s="8" customFormat="1" x14ac:dyDescent="0.25"/>
    <row r="492" s="8" customFormat="1" x14ac:dyDescent="0.25"/>
    <row r="493" s="8" customFormat="1" x14ac:dyDescent="0.25"/>
    <row r="494" s="8" customFormat="1" x14ac:dyDescent="0.25"/>
    <row r="495" s="8" customFormat="1" x14ac:dyDescent="0.25"/>
    <row r="496" s="8" customFormat="1" x14ac:dyDescent="0.25"/>
    <row r="497" s="8" customFormat="1" x14ac:dyDescent="0.25"/>
    <row r="498" s="8" customFormat="1" x14ac:dyDescent="0.25"/>
    <row r="499" s="8" customFormat="1" x14ac:dyDescent="0.25"/>
    <row r="500" s="8" customFormat="1" x14ac:dyDescent="0.25"/>
    <row r="501" s="8" customFormat="1" x14ac:dyDescent="0.25"/>
    <row r="502" s="8" customFormat="1" x14ac:dyDescent="0.25"/>
    <row r="503" s="8" customFormat="1" x14ac:dyDescent="0.25"/>
    <row r="504" s="8" customFormat="1" x14ac:dyDescent="0.25"/>
    <row r="505" s="8" customFormat="1" x14ac:dyDescent="0.25"/>
    <row r="506" s="8" customFormat="1" x14ac:dyDescent="0.25"/>
    <row r="507" s="8" customFormat="1" x14ac:dyDescent="0.25"/>
    <row r="508" s="8" customFormat="1" x14ac:dyDescent="0.25"/>
    <row r="509" s="8" customFormat="1" x14ac:dyDescent="0.25"/>
    <row r="510" s="8" customFormat="1" x14ac:dyDescent="0.25"/>
    <row r="511" s="8" customFormat="1" x14ac:dyDescent="0.25"/>
    <row r="512" s="8" customFormat="1" x14ac:dyDescent="0.25"/>
    <row r="513" s="8" customFormat="1" x14ac:dyDescent="0.25"/>
    <row r="514" s="8" customFormat="1" x14ac:dyDescent="0.25"/>
    <row r="515" s="8" customFormat="1" x14ac:dyDescent="0.25"/>
    <row r="516" s="8" customFormat="1" x14ac:dyDescent="0.25"/>
    <row r="517" s="8" customFormat="1" x14ac:dyDescent="0.25"/>
    <row r="518" s="8" customFormat="1" x14ac:dyDescent="0.25"/>
    <row r="519" s="8" customFormat="1" x14ac:dyDescent="0.25"/>
    <row r="520" s="8" customFormat="1" x14ac:dyDescent="0.25"/>
    <row r="521" s="8" customFormat="1" x14ac:dyDescent="0.25"/>
    <row r="522" s="8" customFormat="1" x14ac:dyDescent="0.25"/>
    <row r="523" s="8" customFormat="1" x14ac:dyDescent="0.25"/>
    <row r="524" s="8" customFormat="1" x14ac:dyDescent="0.25"/>
    <row r="525" s="8" customFormat="1" x14ac:dyDescent="0.25"/>
    <row r="526" s="8" customFormat="1" x14ac:dyDescent="0.25"/>
    <row r="527" s="8" customFormat="1" x14ac:dyDescent="0.25"/>
    <row r="528" s="8" customFormat="1" x14ac:dyDescent="0.25"/>
    <row r="529" s="8" customFormat="1" x14ac:dyDescent="0.25"/>
    <row r="530" s="8" customFormat="1" x14ac:dyDescent="0.25"/>
    <row r="531" s="8" customFormat="1" x14ac:dyDescent="0.25"/>
    <row r="532" s="8" customFormat="1" x14ac:dyDescent="0.25"/>
    <row r="533" s="8" customFormat="1" x14ac:dyDescent="0.25"/>
    <row r="534" s="8" customFormat="1" x14ac:dyDescent="0.25"/>
    <row r="535" s="8" customFormat="1" x14ac:dyDescent="0.25"/>
    <row r="536" s="8" customFormat="1" x14ac:dyDescent="0.25"/>
    <row r="537" s="8" customFormat="1" x14ac:dyDescent="0.25"/>
    <row r="538" s="8" customFormat="1" x14ac:dyDescent="0.25"/>
    <row r="539" s="8" customFormat="1" x14ac:dyDescent="0.25"/>
    <row r="540" s="8" customFormat="1" x14ac:dyDescent="0.25"/>
    <row r="541" s="8" customFormat="1" x14ac:dyDescent="0.25"/>
    <row r="542" s="8" customFormat="1" x14ac:dyDescent="0.25"/>
    <row r="543" s="8" customFormat="1" x14ac:dyDescent="0.25"/>
    <row r="544" s="8" customFormat="1" x14ac:dyDescent="0.25"/>
    <row r="545" s="8" customFormat="1" x14ac:dyDescent="0.25"/>
    <row r="546" s="8" customFormat="1" x14ac:dyDescent="0.25"/>
    <row r="547" s="8" customFormat="1" x14ac:dyDescent="0.25"/>
    <row r="548" s="8" customFormat="1" x14ac:dyDescent="0.25"/>
    <row r="549" s="8" customFormat="1" x14ac:dyDescent="0.25"/>
    <row r="550" s="8" customFormat="1" x14ac:dyDescent="0.25"/>
    <row r="551" s="8" customFormat="1" x14ac:dyDescent="0.25"/>
    <row r="552" s="8" customFormat="1" x14ac:dyDescent="0.25"/>
    <row r="553" s="8" customFormat="1" x14ac:dyDescent="0.25"/>
    <row r="554" s="8" customFormat="1" x14ac:dyDescent="0.25"/>
    <row r="555" s="8" customFormat="1" x14ac:dyDescent="0.25"/>
    <row r="556" s="8" customFormat="1" x14ac:dyDescent="0.25"/>
    <row r="557" s="8" customFormat="1" x14ac:dyDescent="0.25"/>
    <row r="558" s="8" customFormat="1" x14ac:dyDescent="0.25"/>
    <row r="559" s="8" customFormat="1" x14ac:dyDescent="0.25"/>
    <row r="560" s="8" customFormat="1" x14ac:dyDescent="0.25"/>
    <row r="561" s="8" customFormat="1" x14ac:dyDescent="0.25"/>
    <row r="562" s="8" customFormat="1" x14ac:dyDescent="0.25"/>
    <row r="563" s="8" customFormat="1" x14ac:dyDescent="0.25"/>
    <row r="564" s="8" customFormat="1" x14ac:dyDescent="0.25"/>
    <row r="565" s="8" customFormat="1" x14ac:dyDescent="0.25"/>
    <row r="566" s="8" customFormat="1" x14ac:dyDescent="0.25"/>
    <row r="567" s="8" customFormat="1" x14ac:dyDescent="0.25"/>
    <row r="568" s="8" customFormat="1" x14ac:dyDescent="0.25"/>
    <row r="569" s="8" customFormat="1" x14ac:dyDescent="0.25"/>
    <row r="570" s="8" customFormat="1" x14ac:dyDescent="0.25"/>
    <row r="571" s="8" customFormat="1" x14ac:dyDescent="0.25"/>
    <row r="572" s="8" customFormat="1" x14ac:dyDescent="0.25"/>
    <row r="573" s="8" customFormat="1" x14ac:dyDescent="0.25"/>
    <row r="574" s="8" customFormat="1" x14ac:dyDescent="0.25"/>
    <row r="575" s="8" customFormat="1" x14ac:dyDescent="0.25"/>
    <row r="576" s="8" customFormat="1" x14ac:dyDescent="0.25"/>
    <row r="577" s="8" customFormat="1" x14ac:dyDescent="0.25"/>
    <row r="578" s="8" customFormat="1" x14ac:dyDescent="0.25"/>
    <row r="579" s="8" customFormat="1" x14ac:dyDescent="0.25"/>
    <row r="580" s="8" customFormat="1" x14ac:dyDescent="0.25"/>
    <row r="581" s="8" customFormat="1" x14ac:dyDescent="0.25"/>
    <row r="582" s="8" customFormat="1" x14ac:dyDescent="0.25"/>
    <row r="583" s="8" customFormat="1" x14ac:dyDescent="0.25"/>
    <row r="584" s="8" customFormat="1" x14ac:dyDescent="0.25"/>
    <row r="585" s="8" customFormat="1" x14ac:dyDescent="0.25"/>
    <row r="586" s="8" customFormat="1" x14ac:dyDescent="0.25"/>
    <row r="587" s="8" customFormat="1" x14ac:dyDescent="0.25"/>
    <row r="588" s="8" customFormat="1" x14ac:dyDescent="0.25"/>
    <row r="589" s="8" customFormat="1" x14ac:dyDescent="0.25"/>
    <row r="590" s="8" customFormat="1" x14ac:dyDescent="0.25"/>
    <row r="591" s="8" customFormat="1" x14ac:dyDescent="0.25"/>
    <row r="592" s="8" customFormat="1" x14ac:dyDescent="0.25"/>
    <row r="593" s="8" customFormat="1" x14ac:dyDescent="0.25"/>
    <row r="594" s="8" customFormat="1" x14ac:dyDescent="0.25"/>
    <row r="595" s="8" customFormat="1" x14ac:dyDescent="0.25"/>
    <row r="596" s="8" customFormat="1" x14ac:dyDescent="0.25"/>
    <row r="597" s="8" customFormat="1" x14ac:dyDescent="0.25"/>
    <row r="598" s="8" customFormat="1" x14ac:dyDescent="0.25"/>
    <row r="599" s="8" customFormat="1" x14ac:dyDescent="0.25"/>
    <row r="600" s="8" customFormat="1" x14ac:dyDescent="0.25"/>
    <row r="601" s="8" customFormat="1" x14ac:dyDescent="0.25"/>
    <row r="602" s="8" customFormat="1" x14ac:dyDescent="0.25"/>
    <row r="603" s="8" customFormat="1" x14ac:dyDescent="0.25"/>
    <row r="604" s="8" customFormat="1" x14ac:dyDescent="0.25"/>
    <row r="605" s="8" customFormat="1" x14ac:dyDescent="0.25"/>
    <row r="606" s="8" customFormat="1" x14ac:dyDescent="0.25"/>
    <row r="607" s="8" customFormat="1" x14ac:dyDescent="0.25"/>
    <row r="608" s="8" customFormat="1" x14ac:dyDescent="0.25"/>
    <row r="609" s="8" customFormat="1" x14ac:dyDescent="0.25"/>
    <row r="610" s="8" customFormat="1" x14ac:dyDescent="0.25"/>
    <row r="611" s="8" customFormat="1" x14ac:dyDescent="0.25"/>
    <row r="612" s="8" customFormat="1" x14ac:dyDescent="0.25"/>
    <row r="613" s="8" customFormat="1" x14ac:dyDescent="0.25"/>
    <row r="614" s="8" customFormat="1" x14ac:dyDescent="0.25"/>
    <row r="615" s="8" customFormat="1" x14ac:dyDescent="0.25"/>
    <row r="616" s="8" customFormat="1" x14ac:dyDescent="0.25"/>
    <row r="617" s="8" customFormat="1" x14ac:dyDescent="0.25"/>
    <row r="618" s="8" customFormat="1" x14ac:dyDescent="0.25"/>
    <row r="619" s="8" customFormat="1" x14ac:dyDescent="0.25"/>
    <row r="620" s="8" customFormat="1" x14ac:dyDescent="0.25"/>
    <row r="621" s="8" customFormat="1" x14ac:dyDescent="0.25"/>
    <row r="622" s="8" customFormat="1" x14ac:dyDescent="0.25"/>
    <row r="623" s="8" customFormat="1" x14ac:dyDescent="0.25"/>
    <row r="624" s="8" customFormat="1" x14ac:dyDescent="0.25"/>
    <row r="625" s="8" customFormat="1" x14ac:dyDescent="0.25"/>
    <row r="626" s="8" customFormat="1" x14ac:dyDescent="0.25"/>
    <row r="627" s="8" customFormat="1" x14ac:dyDescent="0.25"/>
    <row r="628" s="8" customFormat="1" x14ac:dyDescent="0.25"/>
    <row r="629" s="8" customFormat="1" x14ac:dyDescent="0.25"/>
    <row r="630" s="8" customFormat="1" x14ac:dyDescent="0.25"/>
    <row r="631" s="8" customFormat="1" x14ac:dyDescent="0.25"/>
    <row r="632" s="8" customFormat="1" x14ac:dyDescent="0.25"/>
    <row r="633" s="8" customFormat="1" x14ac:dyDescent="0.25"/>
    <row r="634" s="8" customFormat="1" x14ac:dyDescent="0.25"/>
    <row r="635" s="8" customFormat="1" x14ac:dyDescent="0.25"/>
    <row r="636" s="8" customFormat="1" x14ac:dyDescent="0.25"/>
    <row r="637" s="8" customFormat="1" x14ac:dyDescent="0.25"/>
    <row r="638" s="8" customFormat="1" x14ac:dyDescent="0.25"/>
    <row r="639" s="8" customFormat="1" x14ac:dyDescent="0.25"/>
    <row r="640" s="8" customFormat="1" x14ac:dyDescent="0.25"/>
    <row r="641" s="8" customFormat="1" x14ac:dyDescent="0.25"/>
    <row r="642" s="8" customFormat="1" x14ac:dyDescent="0.25"/>
    <row r="643" s="8" customFormat="1" x14ac:dyDescent="0.25"/>
    <row r="644" s="8" customFormat="1" x14ac:dyDescent="0.25"/>
    <row r="645" s="8" customFormat="1" x14ac:dyDescent="0.25"/>
    <row r="646" s="8" customFormat="1" x14ac:dyDescent="0.25"/>
    <row r="647" s="8" customFormat="1" x14ac:dyDescent="0.25"/>
    <row r="648" s="8" customFormat="1" x14ac:dyDescent="0.25"/>
    <row r="649" s="8" customFormat="1" x14ac:dyDescent="0.25"/>
    <row r="650" s="8" customFormat="1" x14ac:dyDescent="0.25"/>
    <row r="651" s="8" customFormat="1" x14ac:dyDescent="0.25"/>
    <row r="652" s="8" customFormat="1" x14ac:dyDescent="0.25"/>
  </sheetData>
  <sheetProtection algorithmName="SHA-512" hashValue="+YXV/wgGAkOVY9wBLK1UUcMAh09zigIBgdNCR6/8ORl3PtALf1PSUlPWFotiztE2w+c/BAqZrXzE93a4CP/WCg==" saltValue="rX/+YTE1D1XYKEUXGI7UdQ==" spinCount="100000" sheet="1" objects="1" scenarios="1"/>
  <printOptions gridLines="1"/>
  <pageMargins left="0.7" right="0.7" top="0.75" bottom="0.75" header="0.3" footer="0.3"/>
  <pageSetup scale="6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N1202"/>
  <sheetViews>
    <sheetView zoomScale="85" zoomScaleNormal="85" workbookViewId="0">
      <pane ySplit="3" topLeftCell="A4" activePane="bottomLeft" state="frozen"/>
      <selection pane="bottomLeft" activeCell="P9" sqref="P9"/>
    </sheetView>
  </sheetViews>
  <sheetFormatPr defaultColWidth="8.85546875" defaultRowHeight="15" x14ac:dyDescent="0.25"/>
  <cols>
    <col min="1" max="1" width="6" style="73" customWidth="1"/>
    <col min="2" max="2" width="7.28515625" style="73" customWidth="1"/>
    <col min="3" max="4" width="10" style="73" customWidth="1"/>
    <col min="5" max="5" width="15.28515625" style="73" customWidth="1"/>
    <col min="6" max="6" width="11.28515625" style="73" customWidth="1"/>
    <col min="7" max="7" width="13.7109375" style="73" customWidth="1"/>
    <col min="8" max="8" width="11.28515625" style="71" customWidth="1"/>
    <col min="9" max="9" width="10" style="71" customWidth="1"/>
    <col min="10" max="10" width="13.5703125" style="8" customWidth="1"/>
    <col min="11" max="11" width="13.85546875" style="8" customWidth="1"/>
    <col min="12" max="12" width="11.85546875" style="72" customWidth="1"/>
    <col min="13" max="13" width="13.28515625" style="8" customWidth="1"/>
    <col min="14" max="14" width="8.42578125" style="52" customWidth="1"/>
    <col min="15" max="16" width="14.5703125" style="8" customWidth="1"/>
    <col min="17" max="17" width="17.5703125" style="8" customWidth="1"/>
    <col min="18" max="18" width="16.85546875" style="8" customWidth="1"/>
    <col min="19" max="19" width="8.85546875" style="8"/>
    <col min="20" max="20" width="17" style="8" customWidth="1"/>
    <col min="21" max="21" width="14.7109375" style="8" customWidth="1"/>
    <col min="22" max="22" width="11.28515625" style="8" customWidth="1"/>
    <col min="23" max="23" width="13.5703125" style="139" customWidth="1"/>
    <col min="24" max="25" width="8.85546875" style="139"/>
    <col min="26" max="26" width="17.7109375" style="139" customWidth="1"/>
    <col min="27" max="27" width="4.140625" style="73" customWidth="1"/>
    <col min="28" max="28" width="3" style="58" customWidth="1"/>
    <col min="29" max="29" width="14" style="50" customWidth="1"/>
    <col min="30" max="33" width="9.140625" style="51"/>
    <col min="34" max="34" width="3.140625" style="52" customWidth="1"/>
    <col min="35" max="35" width="12.140625" style="53" customWidth="1"/>
    <col min="36" max="36" width="9.140625" style="51" customWidth="1"/>
    <col min="37" max="16384" width="8.85546875" style="8"/>
  </cols>
  <sheetData>
    <row r="1" spans="1:40" ht="18" x14ac:dyDescent="0.25">
      <c r="A1" s="127" t="s">
        <v>186</v>
      </c>
      <c r="L1" s="8"/>
    </row>
    <row r="3" spans="1:40" x14ac:dyDescent="0.25">
      <c r="A3" s="95" t="s">
        <v>25</v>
      </c>
      <c r="B3" s="95" t="s">
        <v>26</v>
      </c>
      <c r="C3" s="95" t="s">
        <v>19</v>
      </c>
      <c r="D3" s="95" t="s">
        <v>181</v>
      </c>
      <c r="E3" s="97" t="s">
        <v>58</v>
      </c>
      <c r="F3" s="97" t="s">
        <v>182</v>
      </c>
      <c r="G3" s="95" t="s">
        <v>183</v>
      </c>
      <c r="H3" s="140" t="s">
        <v>30</v>
      </c>
      <c r="I3" s="140" t="s">
        <v>29</v>
      </c>
      <c r="J3" s="140" t="s">
        <v>85</v>
      </c>
      <c r="K3" s="9" t="s">
        <v>90</v>
      </c>
      <c r="L3" s="44" t="s">
        <v>89</v>
      </c>
      <c r="M3" s="21" t="s">
        <v>86</v>
      </c>
      <c r="N3" s="45" t="s">
        <v>210</v>
      </c>
      <c r="O3" s="46" t="s">
        <v>87</v>
      </c>
      <c r="P3" s="46" t="s">
        <v>88</v>
      </c>
      <c r="Q3" s="47" t="s">
        <v>91</v>
      </c>
      <c r="R3" s="46" t="s">
        <v>92</v>
      </c>
      <c r="S3" s="46" t="s">
        <v>103</v>
      </c>
      <c r="T3" s="48" t="s">
        <v>93</v>
      </c>
      <c r="U3" s="48" t="s">
        <v>31</v>
      </c>
      <c r="V3" s="46" t="s">
        <v>94</v>
      </c>
      <c r="W3" s="179" t="s">
        <v>206</v>
      </c>
      <c r="X3" s="179" t="s">
        <v>96</v>
      </c>
      <c r="Y3" s="179" t="s">
        <v>13</v>
      </c>
      <c r="Z3" s="120" t="s">
        <v>41</v>
      </c>
      <c r="AA3" s="46" t="s">
        <v>27</v>
      </c>
      <c r="AB3" s="49"/>
    </row>
    <row r="4" spans="1:40" ht="15.6" customHeight="1" x14ac:dyDescent="0.3">
      <c r="A4" s="34">
        <v>1</v>
      </c>
      <c r="B4" s="34">
        <v>1</v>
      </c>
      <c r="C4" s="4"/>
      <c r="D4" s="96">
        <v>1</v>
      </c>
      <c r="E4" s="5"/>
      <c r="F4" s="98">
        <v>1</v>
      </c>
      <c r="G4" s="99">
        <v>1</v>
      </c>
      <c r="H4" s="158"/>
      <c r="I4" s="159"/>
      <c r="J4" s="160"/>
      <c r="K4" s="54" t="e">
        <f>IF(I4&lt;Standards_Data!M$18,"pass",IF(OR(H4&gt;Standards_Data!M$17,H4="undetermined"),"inhb","comp"))</f>
        <v>#DIV/0!</v>
      </c>
      <c r="L4" s="55" t="e">
        <f>IF(OR(K4="pass",K4="comp"),1,0)</f>
        <v>#DIV/0!</v>
      </c>
      <c r="M4" s="54" t="e">
        <f>IF(OR(COUNT(L4:L6)=0,Standards_Data!M$5&gt;Standards_Data!M$23)," ",IF(SUM(L4:L6) &gt;=2,"pass","fail"))</f>
        <v>#DIV/0!</v>
      </c>
      <c r="N4" s="56">
        <f>IF(H4="undetermined",0,IF(H4&gt;=Standards_Data!M$25,0,1))</f>
        <v>0</v>
      </c>
      <c r="O4" s="34" t="e">
        <f>IF(H4="undetermined","ND",IF(H4&gt;Standards_Data!M$22,"fail","pass"))</f>
        <v>#DIV/0!</v>
      </c>
      <c r="P4" s="57" t="str">
        <f>IF(COUNT(J4:J6)=0," ",AVERAGE(J4:J6))</f>
        <v xml:space="preserve"> </v>
      </c>
      <c r="Q4" s="54" t="str">
        <f>IF(P4=" "," ",IF(P4&gt; (Sketa22_Data!O$4+3*Sketa22_Data!O$5),"fail","pass"))</f>
        <v xml:space="preserve"> </v>
      </c>
      <c r="R4" s="54" t="str">
        <f>IF(P4=" "," ",IF(P4&gt; (Sketa22_Data!O$4+3.3),"fail","pass"))</f>
        <v xml:space="preserve"> </v>
      </c>
      <c r="S4" s="57" t="e">
        <f>IF(AND(P4&gt;(Sketa22_Data!O$4+3*Sketa22_Data!O$5), P4&lt;= (Sketa22_Data!O$4+3.3)),P4-(Sketa22_Data!O$4+3*Sketa22_Data!O$5)," ")</f>
        <v>#DIV/0!</v>
      </c>
      <c r="T4" s="54" t="e">
        <f>IF(AND(P4&gt;(Sketa22_Data!O$4+3*Sketa22_Data!O$5), P4&lt;= (Sketa22_Data!O$4+3.3)),"pass"," ")</f>
        <v>#DIV/0!</v>
      </c>
      <c r="U4" s="54" t="e">
        <f>IF(AND(Sketa22_Data!O$5 &lt;0.62,OR(Q4="pass",T4="pass")),"pass"," ")</f>
        <v>#DIV/0!</v>
      </c>
      <c r="V4" s="54" t="e">
        <f>IF(AND(L4=1,M4="pass",O4="pass",U4="pass",Standards_Data!M$20="pass",Standards_Data!M$21="pass",Standards_Data!M$6="pass",Standards_Data!H$30="pass",Sketa22_Data!G$18="pass"),"pass","fail")</f>
        <v>#DIV/0!</v>
      </c>
      <c r="W4" s="122" t="e">
        <f t="shared" ref="W4:W35" si="0">IF(V4="fail","",IF(T4="pass",H4-S4,H4))</f>
        <v>#DIV/0!</v>
      </c>
      <c r="X4" s="121" t="str">
        <f>IF(COUNT(W4:W12)=0,  " ",AVERAGE(W4:W12))</f>
        <v xml:space="preserve"> </v>
      </c>
      <c r="Y4" s="121" t="str">
        <f>IF( X4=" ", " ",(X4-Standards_Data!M$11)/Standards_Data!M$7)</f>
        <v xml:space="preserve"> </v>
      </c>
      <c r="Z4" s="121" t="str">
        <f>IF(Y4=" "," ",SQRT((1/Standards_Data!$M$7^2)*(Standards_Data!$M$12^2+AJ5^2+ (-2*(X4-Standards_Data!$M$11)*SUMSQ(Standards_Data!$AG$10:$AG$24)*AVERAGE(Standards_Data!$AE$10:$AE$24)/(DEVSQ(Standards_Data!$AE$10:$AE$24)*(COUNT(Standards_Data!$AG$10:$AG$24)-2)*Standards_Data!$M$7))+ ((X4-Standards_Data!$M$11)^2*Standards_Data!$M$8^2/(Standards_Data!$M$7^2)))))</f>
        <v xml:space="preserve"> </v>
      </c>
      <c r="AA4" s="18">
        <f>COUNT(W4:W12)</f>
        <v>0</v>
      </c>
      <c r="AD4" s="59" t="s">
        <v>0</v>
      </c>
      <c r="AE4" s="59" t="s">
        <v>1</v>
      </c>
      <c r="AF4" s="59" t="s">
        <v>2</v>
      </c>
      <c r="AG4" s="59" t="s">
        <v>3</v>
      </c>
      <c r="AI4" s="60" t="s">
        <v>95</v>
      </c>
      <c r="AJ4" s="61" t="e">
        <f>AVERAGE(W4:W12)</f>
        <v>#DIV/0!</v>
      </c>
      <c r="AN4" s="30" t="s">
        <v>113</v>
      </c>
    </row>
    <row r="5" spans="1:40" x14ac:dyDescent="0.25">
      <c r="A5" s="34">
        <v>1</v>
      </c>
      <c r="B5" s="34">
        <v>1</v>
      </c>
      <c r="C5" s="2"/>
      <c r="D5" s="96">
        <v>1</v>
      </c>
      <c r="E5" s="5"/>
      <c r="F5" s="98">
        <v>1</v>
      </c>
      <c r="G5" s="99">
        <v>1</v>
      </c>
      <c r="H5" s="158"/>
      <c r="I5" s="159"/>
      <c r="J5" s="160"/>
      <c r="K5" s="172" t="e">
        <f>IF(I5&lt;Standards_Data!M$18,"pass",IF(OR(H5&gt;Standards_Data!M$17,H5="undetermined"),"inhb","comp"))</f>
        <v>#DIV/0!</v>
      </c>
      <c r="L5" s="55" t="e">
        <f t="shared" ref="L5:L66" si="1">IF(OR(K5="pass",K5="comp"),1,0)</f>
        <v>#DIV/0!</v>
      </c>
      <c r="M5" s="54" t="e">
        <f>IF(OR(COUNT(L4:L6)=0,Standards_Data!M$5&gt;Standards_Data!M$23)," ",IF(SUM(L4:L6) &gt;=2,"pass","fail"))</f>
        <v>#DIV/0!</v>
      </c>
      <c r="N5" s="56">
        <f>IF(H5="undetermined",0,IF(H5&gt;=Standards_Data!M$25,0,1))</f>
        <v>0</v>
      </c>
      <c r="O5" s="34" t="e">
        <f>IF(H5="undetermined","ND",IF(H5&gt;Standards_Data!M$22,"fail","pass"))</f>
        <v>#DIV/0!</v>
      </c>
      <c r="P5" s="54"/>
      <c r="Q5" s="54"/>
      <c r="R5" s="54"/>
      <c r="S5" s="57" t="e">
        <f>IF(AND(P4&gt;(Sketa22_Data!O$4+3*Sketa22_Data!O$5), P4&lt;= (Sketa22_Data!O$4+3.3)),P4-(Sketa22_Data!O$4+3*Sketa22_Data!O$5)," ")</f>
        <v>#DIV/0!</v>
      </c>
      <c r="T5" s="54" t="e">
        <f>IF(AND(P4&gt;(Sketa22_Data!O$4+3*Sketa22_Data!O$5), P4&lt;= (Sketa22_Data!O$4+3.3)),"pass"," ")</f>
        <v>#DIV/0!</v>
      </c>
      <c r="U5" s="54" t="e">
        <f>IF(AND(Sketa22_Data!O$5 &lt;0.62,OR(Q4="pass",T4="pass")),"pass"," ")</f>
        <v>#DIV/0!</v>
      </c>
      <c r="V5" s="54" t="e">
        <f>IF(AND(L5=1,M5="pass",O5="pass",U5="pass",Standards_Data!M$20="pass",Standards_Data!M$21="pass",Standards_Data!M$6="pass",Standards_Data!H$30="pass",Sketa22_Data!G$18="pass"),"pass","fail")</f>
        <v>#DIV/0!</v>
      </c>
      <c r="W5" s="122" t="e">
        <f t="shared" si="0"/>
        <v>#DIV/0!</v>
      </c>
      <c r="X5" s="122"/>
      <c r="Y5" s="122"/>
      <c r="Z5" s="122"/>
      <c r="AA5" s="34"/>
      <c r="AC5" s="62" t="s">
        <v>4</v>
      </c>
      <c r="AD5" s="36" t="e">
        <f>IF(COUNTBLANK(W4:W12) =9,0,DEVSQ(W4:W12))</f>
        <v>#DIV/0!</v>
      </c>
      <c r="AE5" s="41">
        <f>COUNT(W4:W12)-1</f>
        <v>-1</v>
      </c>
      <c r="AF5" s="36" t="e">
        <f>AD5/AE5</f>
        <v>#DIV/0!</v>
      </c>
      <c r="AG5" s="63" t="e">
        <f>IF((AG7 &lt;0),0,AG7) +    IF( (AG6 &lt;0),0,AG6)</f>
        <v>#DIV/0!</v>
      </c>
      <c r="AI5" s="53" t="s">
        <v>23</v>
      </c>
      <c r="AJ5" s="61">
        <f>IF(COUNT(W4:W12) &lt;=3,0,   IF(AG6 &gt;0,SQRT((AG7/(AE5+1))+(AG6*(COUNT(W4:W6)^2+COUNT(W7:W9)^2+COUNT(W10:W12)^2)/(AE5+1)^2)), STDEV(W4:W12)/SQRT(COUNT(W4:W12)  ) ))</f>
        <v>0</v>
      </c>
      <c r="AM5" s="31" t="s">
        <v>25</v>
      </c>
      <c r="AN5" s="32" t="s">
        <v>141</v>
      </c>
    </row>
    <row r="6" spans="1:40" x14ac:dyDescent="0.25">
      <c r="A6" s="34">
        <v>1</v>
      </c>
      <c r="B6" s="34">
        <v>1</v>
      </c>
      <c r="C6" s="2"/>
      <c r="D6" s="96">
        <v>1</v>
      </c>
      <c r="E6" s="5"/>
      <c r="F6" s="98">
        <v>1</v>
      </c>
      <c r="G6" s="99">
        <v>1</v>
      </c>
      <c r="H6" s="158"/>
      <c r="I6" s="159"/>
      <c r="J6" s="160"/>
      <c r="K6" s="172" t="e">
        <f>IF(I6&lt;Standards_Data!M$18,"pass",IF(OR(H6&gt;Standards_Data!M$17,H6="undetermined"),"inhb","comp"))</f>
        <v>#DIV/0!</v>
      </c>
      <c r="L6" s="55" t="e">
        <f t="shared" si="1"/>
        <v>#DIV/0!</v>
      </c>
      <c r="M6" s="54" t="e">
        <f>IF(OR(COUNT(L4:L6)=0,Standards_Data!M$5&gt;Standards_Data!M$23)," ",IF(SUM(L4:L6) &gt;=2,"pass","fail"))</f>
        <v>#DIV/0!</v>
      </c>
      <c r="N6" s="56">
        <f>IF(H6="undetermined",0,IF(H6&gt;=Standards_Data!M$25,0,1))</f>
        <v>0</v>
      </c>
      <c r="O6" s="34" t="e">
        <f>IF(H6="undetermined","ND",IF(H6&gt;Standards_Data!M$22,"fail","pass"))</f>
        <v>#DIV/0!</v>
      </c>
      <c r="P6" s="54"/>
      <c r="Q6" s="54"/>
      <c r="R6" s="54"/>
      <c r="S6" s="57" t="e">
        <f>IF(AND(P4&gt;(Sketa22_Data!O$4+3*Sketa22_Data!O$5), P4&lt;= (Sketa22_Data!O$4+3.3)),P4-(Sketa22_Data!O$4+3*Sketa22_Data!O$5)," ")</f>
        <v>#DIV/0!</v>
      </c>
      <c r="T6" s="54" t="e">
        <f>IF(AND(P4&gt;(Sketa22_Data!O$4+3*Sketa22_Data!O$5), P4&lt;= (Sketa22_Data!O$4+3.3)),"pass"," ")</f>
        <v>#DIV/0!</v>
      </c>
      <c r="U6" s="54" t="e">
        <f>IF(AND(Sketa22_Data!O$5 &lt;0.62,OR(Q4="pass",T4="pass")),"pass"," ")</f>
        <v>#DIV/0!</v>
      </c>
      <c r="V6" s="54" t="e">
        <f>IF(AND(L6=1,M6="pass",O6="pass",U6="pass",Standards_Data!M$20="pass",Standards_Data!M$21="pass",Standards_Data!M$6="pass",Standards_Data!H$30="pass",Sketa22_Data!G$18="pass"),"pass","fail")</f>
        <v>#DIV/0!</v>
      </c>
      <c r="W6" s="122" t="e">
        <f t="shared" si="0"/>
        <v>#DIV/0!</v>
      </c>
      <c r="X6" s="122"/>
      <c r="Y6" s="122"/>
      <c r="Z6" s="122"/>
      <c r="AA6" s="34"/>
      <c r="AC6" s="62" t="s">
        <v>6</v>
      </c>
      <c r="AD6" s="36" t="e">
        <f>AD5-(AD7)</f>
        <v>#DIV/0!</v>
      </c>
      <c r="AE6" s="41">
        <f>AE5 - AE7</f>
        <v>2</v>
      </c>
      <c r="AF6" s="36" t="e">
        <f>AD6/AE6</f>
        <v>#DIV/0!</v>
      </c>
      <c r="AG6" s="36" t="e">
        <f>(AF6-AF7)/(((COUNT(  W4:W6)+COUNT(  W7:W9)+COUNT(  W10:W12))-(COUNT(  W4:W6)^2+COUNT(  W7:W9)^2+COUNT(  W10:W12)^2)/(COUNT(  W4:W6)+COUNT(  W7:W9)+COUNT(  W10:W12)))/((IF(COUNTBLANK(  W4:W6)=3,0,1))+(IF(COUNTBLANK(  W7:W9)=3,0,1))+(IF(COUNTBLANK(  W10:W12)=3,0,1))-1))</f>
        <v>#DIV/0!</v>
      </c>
      <c r="AJ6" s="61"/>
      <c r="AM6" s="31" t="s">
        <v>26</v>
      </c>
      <c r="AN6" s="32" t="s">
        <v>143</v>
      </c>
    </row>
    <row r="7" spans="1:40" x14ac:dyDescent="0.25">
      <c r="A7" s="34">
        <v>1</v>
      </c>
      <c r="B7" s="34">
        <v>1</v>
      </c>
      <c r="C7" s="2"/>
      <c r="D7" s="96">
        <v>1</v>
      </c>
      <c r="E7" s="5"/>
      <c r="F7" s="98">
        <v>2</v>
      </c>
      <c r="G7" s="99">
        <v>2</v>
      </c>
      <c r="H7" s="158"/>
      <c r="I7" s="159"/>
      <c r="J7" s="160"/>
      <c r="K7" s="172" t="e">
        <f>IF(I7&lt;Standards_Data!M$18,"pass",IF(OR(H7&gt;Standards_Data!M$17,H7="undetermined"),"inhb","comp"))</f>
        <v>#DIV/0!</v>
      </c>
      <c r="L7" s="55" t="e">
        <f t="shared" si="1"/>
        <v>#DIV/0!</v>
      </c>
      <c r="M7" s="54" t="e">
        <f>IF(OR(COUNT(L7:L9)=0,Standards_Data!M$5&gt;Standards_Data!M$23)," ",IF(SUM(L7:L9) &gt;=2,"pass","fail"))</f>
        <v>#DIV/0!</v>
      </c>
      <c r="N7" s="56">
        <f>IF(H7="undetermined",0,IF(H7&gt;=Standards_Data!M$25,0,1))</f>
        <v>0</v>
      </c>
      <c r="O7" s="34" t="e">
        <f>IF(H7="undetermined","ND",IF(H7&gt;Standards_Data!M$22,"fail","pass"))</f>
        <v>#DIV/0!</v>
      </c>
      <c r="P7" s="57" t="str">
        <f>IF(COUNT(J7:J9)=0," ",AVERAGE(J7:J9))</f>
        <v xml:space="preserve"> </v>
      </c>
      <c r="Q7" s="54" t="str">
        <f>IF(P7=" "," ",IF(P7&gt; (Sketa22_Data!O$4+3*Sketa22_Data!O$5),"fail","pass"))</f>
        <v xml:space="preserve"> </v>
      </c>
      <c r="R7" s="54" t="str">
        <f>IF(P7=" "," ",IF(P7&gt; (Sketa22_Data!O$4+3.3),"fail","pass"))</f>
        <v xml:space="preserve"> </v>
      </c>
      <c r="S7" s="57" t="e">
        <f>IF(AND(P7&gt;(Sketa22_Data!O$4+3*Sketa22_Data!O$5), P7&lt;= (Sketa22_Data!O$4+3.3)),P7-(Sketa22_Data!O$4+3*Sketa22_Data!O$5)," ")</f>
        <v>#DIV/0!</v>
      </c>
      <c r="T7" s="54" t="e">
        <f>IF(AND(P7&gt;(Sketa22_Data!O$4+3*Sketa22_Data!O$5), P7&lt;= (Sketa22_Data!O$4+3.3)),"pass"," ")</f>
        <v>#DIV/0!</v>
      </c>
      <c r="U7" s="54" t="e">
        <f>IF(AND(Sketa22_Data!O$5 &lt;0.62,OR(Q7="pass",T7="pass")),"pass"," ")</f>
        <v>#DIV/0!</v>
      </c>
      <c r="V7" s="54" t="e">
        <f>IF(AND(L7=1,M7="pass",O7="pass",U7="pass",Standards_Data!M$20="pass",Standards_Data!M$21="pass",Standards_Data!M$6="pass",Standards_Data!H$30="pass",Sketa22_Data!G$18="pass"),"pass","fail")</f>
        <v>#DIV/0!</v>
      </c>
      <c r="W7" s="122" t="e">
        <f t="shared" si="0"/>
        <v>#DIV/0!</v>
      </c>
      <c r="X7" s="122"/>
      <c r="Y7" s="122"/>
      <c r="Z7" s="122"/>
      <c r="AA7" s="34"/>
      <c r="AC7" s="62" t="s">
        <v>5</v>
      </c>
      <c r="AD7" s="36" t="e">
        <f>IF(COUNTBLANK(  W4:W6)=3,0,DEVSQ(  W4:W6))+IF(COUNTBLANK(  W7:W9)=3,0,DEVSQ(  W7:W9))+IF(COUNTBLANK(  W10:W12)=3,0,DEVSQ(  W10:W12))</f>
        <v>#DIV/0!</v>
      </c>
      <c r="AE7" s="36">
        <f>IF(COUNTBLANK(  W4:W6)=3,0,COUNT(  W4:W6)-1)+IF(COUNTBLANK(  W7:W9)=3,0,COUNT(  W7:W9)-1)+IF(COUNTBLANK(  W10:W12)=3,0,COUNT(  W10:W12)-1)</f>
        <v>-3</v>
      </c>
      <c r="AF7" s="36" t="e">
        <f>AD7/AE7</f>
        <v>#DIV/0!</v>
      </c>
      <c r="AG7" s="36" t="e">
        <f>AF7</f>
        <v>#DIV/0!</v>
      </c>
      <c r="AJ7" s="61"/>
      <c r="AM7" s="31" t="s">
        <v>19</v>
      </c>
      <c r="AN7" s="32" t="s">
        <v>149</v>
      </c>
    </row>
    <row r="8" spans="1:40" x14ac:dyDescent="0.25">
      <c r="A8" s="34">
        <v>1</v>
      </c>
      <c r="B8" s="34">
        <v>1</v>
      </c>
      <c r="C8" s="2"/>
      <c r="D8" s="96">
        <v>1</v>
      </c>
      <c r="E8" s="5"/>
      <c r="F8" s="98">
        <v>2</v>
      </c>
      <c r="G8" s="99">
        <v>2</v>
      </c>
      <c r="H8" s="158"/>
      <c r="I8" s="159"/>
      <c r="J8" s="160"/>
      <c r="K8" s="172" t="e">
        <f>IF(I8&lt;Standards_Data!M$18,"pass",IF(OR(H8&gt;Standards_Data!M$17,H8="undetermined"),"inhb","comp"))</f>
        <v>#DIV/0!</v>
      </c>
      <c r="L8" s="55" t="e">
        <f t="shared" si="1"/>
        <v>#DIV/0!</v>
      </c>
      <c r="M8" s="54" t="e">
        <f>IF(OR(COUNT(L7:L9)=0,Standards_Data!M$5&gt;Standards_Data!M$23)," ",IF(SUM(L7:L9) &gt;=2,"pass","fail"))</f>
        <v>#DIV/0!</v>
      </c>
      <c r="N8" s="56">
        <f>IF(H8="undetermined",0,IF(H8&gt;=Standards_Data!M$25,0,1))</f>
        <v>0</v>
      </c>
      <c r="O8" s="34" t="e">
        <f>IF(H8="undetermined","ND",IF(H8&gt;Standards_Data!M$22,"fail","pass"))</f>
        <v>#DIV/0!</v>
      </c>
      <c r="P8" s="54"/>
      <c r="Q8" s="54"/>
      <c r="R8" s="54"/>
      <c r="S8" s="57" t="e">
        <f>IF(AND(P7&gt;(Sketa22_Data!O$4+3*Sketa22_Data!O$5), P7&lt;= (Sketa22_Data!O$4+3.3)),P7-(Sketa22_Data!O$4+3*Sketa22_Data!O$5)," ")</f>
        <v>#DIV/0!</v>
      </c>
      <c r="T8" s="54" t="e">
        <f>IF(AND(P7&gt;(Sketa22_Data!O$4+3*Sketa22_Data!O$5), P7&lt;= (Sketa22_Data!O$4+3.3)),"pass"," ")</f>
        <v>#DIV/0!</v>
      </c>
      <c r="U8" s="54" t="e">
        <f>IF(AND(Sketa22_Data!O$5 &lt;0.62,OR(Q7="pass",T7="pass")),"pass"," ")</f>
        <v>#DIV/0!</v>
      </c>
      <c r="V8" s="54" t="e">
        <f>IF(AND(L8=1,M8="pass",O8="pass",U8="pass",Standards_Data!M$20="pass",Standards_Data!M$21="pass",Standards_Data!M$6="pass",Standards_Data!H$30="pass",Sketa22_Data!G$18="pass"),"pass","fail")</f>
        <v>#DIV/0!</v>
      </c>
      <c r="W8" s="122" t="e">
        <f t="shared" si="0"/>
        <v>#DIV/0!</v>
      </c>
      <c r="X8" s="122"/>
      <c r="Y8" s="122"/>
      <c r="Z8" s="122"/>
      <c r="AA8" s="34"/>
      <c r="AJ8" s="61"/>
      <c r="AM8" s="31" t="s">
        <v>58</v>
      </c>
      <c r="AN8" s="32" t="s">
        <v>150</v>
      </c>
    </row>
    <row r="9" spans="1:40" x14ac:dyDescent="0.25">
      <c r="A9" s="34">
        <v>1</v>
      </c>
      <c r="B9" s="34">
        <v>1</v>
      </c>
      <c r="C9" s="2"/>
      <c r="D9" s="96">
        <v>1</v>
      </c>
      <c r="E9" s="5"/>
      <c r="F9" s="98">
        <v>2</v>
      </c>
      <c r="G9" s="99">
        <v>2</v>
      </c>
      <c r="H9" s="158"/>
      <c r="I9" s="159"/>
      <c r="J9" s="160"/>
      <c r="K9" s="172" t="e">
        <f>IF(I9&lt;Standards_Data!M$18,"pass",IF(OR(H9&gt;Standards_Data!M$17,H9="undetermined"),"inhb","comp"))</f>
        <v>#DIV/0!</v>
      </c>
      <c r="L9" s="55" t="e">
        <f t="shared" si="1"/>
        <v>#DIV/0!</v>
      </c>
      <c r="M9" s="54" t="e">
        <f>IF(OR(COUNT(L7:L9)=0,Standards_Data!M$5&gt;Standards_Data!M$23)," ",IF(SUM(L7:L9) &gt;=2,"pass","fail"))</f>
        <v>#DIV/0!</v>
      </c>
      <c r="N9" s="56">
        <f>IF(H9="undetermined",0,IF(H9&gt;=Standards_Data!M$25,0,1))</f>
        <v>0</v>
      </c>
      <c r="O9" s="34" t="e">
        <f>IF(H9="undetermined","ND",IF(H9&gt;Standards_Data!M$22,"fail","pass"))</f>
        <v>#DIV/0!</v>
      </c>
      <c r="P9" s="54"/>
      <c r="Q9" s="54"/>
      <c r="R9" s="54"/>
      <c r="S9" s="57" t="e">
        <f>IF(AND(P7&gt;(Sketa22_Data!O$4+3*Sketa22_Data!O$5), P7&lt;= (Sketa22_Data!O$4+3.3)),P7-(Sketa22_Data!O$4+3*Sketa22_Data!O$5)," ")</f>
        <v>#DIV/0!</v>
      </c>
      <c r="T9" s="54" t="e">
        <f>IF(AND(P7&gt;(Sketa22_Data!O$4+3*Sketa22_Data!O$5), P7&lt;= (Sketa22_Data!O$4+3.3)),"pass"," ")</f>
        <v>#DIV/0!</v>
      </c>
      <c r="U9" s="54" t="e">
        <f>IF(AND(Sketa22_Data!O$5 &lt;0.62,OR(Q7="pass",T7="pass")),"pass"," ")</f>
        <v>#DIV/0!</v>
      </c>
      <c r="V9" s="54" t="e">
        <f>IF(AND(L9=1,M9="pass",O9="pass",U9="pass",Standards_Data!M$20="pass",Standards_Data!M$21="pass",Standards_Data!M$6="pass",Standards_Data!H$30="pass",Sketa22_Data!G$18="pass"),"pass","fail")</f>
        <v>#DIV/0!</v>
      </c>
      <c r="W9" s="122" t="e">
        <f t="shared" si="0"/>
        <v>#DIV/0!</v>
      </c>
      <c r="X9" s="122"/>
      <c r="Y9" s="122"/>
      <c r="Z9" s="122"/>
      <c r="AA9" s="34"/>
      <c r="AJ9" s="61"/>
      <c r="AM9" s="31" t="s">
        <v>84</v>
      </c>
      <c r="AN9" s="32" t="s">
        <v>142</v>
      </c>
    </row>
    <row r="10" spans="1:40" x14ac:dyDescent="0.25">
      <c r="A10" s="34">
        <v>1</v>
      </c>
      <c r="B10" s="34">
        <v>1</v>
      </c>
      <c r="C10" s="2"/>
      <c r="D10" s="96">
        <v>1</v>
      </c>
      <c r="E10" s="5"/>
      <c r="F10" s="98">
        <v>3</v>
      </c>
      <c r="G10" s="99">
        <v>3</v>
      </c>
      <c r="H10" s="158"/>
      <c r="I10" s="159"/>
      <c r="J10" s="160"/>
      <c r="K10" s="172" t="e">
        <f>IF(I10&lt;Standards_Data!M$18,"pass",IF(OR(H10&gt;Standards_Data!M$17,H10="undetermined"),"inhb","comp"))</f>
        <v>#DIV/0!</v>
      </c>
      <c r="L10" s="55" t="e">
        <f t="shared" si="1"/>
        <v>#DIV/0!</v>
      </c>
      <c r="M10" s="54" t="e">
        <f>IF(OR(COUNT(L10:L12)=0,Standards_Data!M$5&gt;Standards_Data!M$23)," ",IF(SUM(L10:L12) &gt;=2,"pass","fail"))</f>
        <v>#DIV/0!</v>
      </c>
      <c r="N10" s="56">
        <f>IF(H10="undetermined",0,IF(H10&gt;=Standards_Data!M$25,0,1))</f>
        <v>0</v>
      </c>
      <c r="O10" s="34" t="e">
        <f>IF(H10="undetermined","ND",IF(H10&gt;Standards_Data!M$22,"fail","pass"))</f>
        <v>#DIV/0!</v>
      </c>
      <c r="P10" s="57" t="str">
        <f>IF(COUNT(J10:J12)=0," ",AVERAGE(J10:J12))</f>
        <v xml:space="preserve"> </v>
      </c>
      <c r="Q10" s="54" t="str">
        <f>IF(P10=" "," ",IF(P10&gt; (Sketa22_Data!O$4+3*Sketa22_Data!O$5),"fail","pass"))</f>
        <v xml:space="preserve"> </v>
      </c>
      <c r="R10" s="54" t="str">
        <f>IF(P10=" "," ",IF(P10&gt; (Sketa22_Data!O$4+3.3),"fail","pass"))</f>
        <v xml:space="preserve"> </v>
      </c>
      <c r="S10" s="57" t="e">
        <f>IF(AND(P10&gt;(Sketa22_Data!O$4+3*Sketa22_Data!O$5), P10&lt;= (Sketa22_Data!O$4+3.3)),P10-(Sketa22_Data!O$4+3*Sketa22_Data!O$5)," ")</f>
        <v>#DIV/0!</v>
      </c>
      <c r="T10" s="54" t="e">
        <f>IF(AND(P10&gt;(Sketa22_Data!O$4+3*Sketa22_Data!O$5), P10&lt;= (Sketa22_Data!O$4+3.3)),"pass"," ")</f>
        <v>#DIV/0!</v>
      </c>
      <c r="U10" s="54" t="e">
        <f>IF(AND(Sketa22_Data!O$5 &lt;0.62,OR(Q10="pass",T10="pass")),"pass"," ")</f>
        <v>#DIV/0!</v>
      </c>
      <c r="V10" s="54" t="e">
        <f>IF(AND(L10=1,M10="pass",O10="pass",U10="pass",Standards_Data!M$20="pass",Standards_Data!M$21="pass",Standards_Data!M$6="pass",Standards_Data!H$30="pass",Sketa22_Data!G$18="pass"),"pass","fail")</f>
        <v>#DIV/0!</v>
      </c>
      <c r="W10" s="122" t="e">
        <f t="shared" si="0"/>
        <v>#DIV/0!</v>
      </c>
      <c r="X10" s="122"/>
      <c r="Y10" s="122"/>
      <c r="Z10" s="122"/>
      <c r="AA10" s="34"/>
      <c r="AJ10" s="61"/>
      <c r="AM10" s="31" t="s">
        <v>29</v>
      </c>
      <c r="AN10" s="32" t="s">
        <v>159</v>
      </c>
    </row>
    <row r="11" spans="1:40" x14ac:dyDescent="0.25">
      <c r="A11" s="34">
        <v>1</v>
      </c>
      <c r="B11" s="34">
        <v>1</v>
      </c>
      <c r="C11" s="2"/>
      <c r="D11" s="96">
        <v>1</v>
      </c>
      <c r="E11" s="5"/>
      <c r="F11" s="98">
        <v>3</v>
      </c>
      <c r="G11" s="99">
        <v>3</v>
      </c>
      <c r="H11" s="158"/>
      <c r="I11" s="159"/>
      <c r="J11" s="160"/>
      <c r="K11" s="172" t="e">
        <f>IF(I11&lt;Standards_Data!M$18,"pass",IF(OR(H11&gt;Standards_Data!M$17,H11="undetermined"),"inhb","comp"))</f>
        <v>#DIV/0!</v>
      </c>
      <c r="L11" s="55" t="e">
        <f t="shared" si="1"/>
        <v>#DIV/0!</v>
      </c>
      <c r="M11" s="54" t="e">
        <f>IF(OR(COUNT(L10:L12)=0,Standards_Data!M$5&gt;Standards_Data!M$23)," ",IF(SUM(L10:L12) &gt;=2,"pass","fail"))</f>
        <v>#DIV/0!</v>
      </c>
      <c r="N11" s="56">
        <f>IF(H11="undetermined",0,IF(H11&gt;=Standards_Data!M$25,0,1))</f>
        <v>0</v>
      </c>
      <c r="O11" s="34" t="e">
        <f>IF(H11="undetermined","ND",IF(H11&gt;Standards_Data!M$22,"fail","pass"))</f>
        <v>#DIV/0!</v>
      </c>
      <c r="P11" s="54"/>
      <c r="Q11" s="54"/>
      <c r="R11" s="54"/>
      <c r="S11" s="57" t="e">
        <f>IF(AND(P10&gt;(Sketa22_Data!O$4+3*Sketa22_Data!O$5), P10&lt;= (Sketa22_Data!O$4+3.3)),P10-(Sketa22_Data!O$4+3*Sketa22_Data!O$5)," ")</f>
        <v>#DIV/0!</v>
      </c>
      <c r="T11" s="54" t="e">
        <f>IF(AND(P10&gt;(Sketa22_Data!O$4+3*Sketa22_Data!O$5), P10&lt;= (Sketa22_Data!O$4+3.3)),"pass"," ")</f>
        <v>#DIV/0!</v>
      </c>
      <c r="U11" s="54" t="e">
        <f>IF(AND(Sketa22_Data!O$5 &lt;0.62,OR(Q10="pass",T10="pass")),"pass"," ")</f>
        <v>#DIV/0!</v>
      </c>
      <c r="V11" s="54" t="e">
        <f>IF(AND(L11=1,M11="pass",O11="pass",U11="pass",Standards_Data!M$20="pass",Standards_Data!M$21="pass",Standards_Data!M$6="pass",Standards_Data!H$30="pass",Sketa22_Data!G$18="pass"),"pass","fail")</f>
        <v>#DIV/0!</v>
      </c>
      <c r="W11" s="122" t="e">
        <f t="shared" si="0"/>
        <v>#DIV/0!</v>
      </c>
      <c r="X11" s="122"/>
      <c r="Y11" s="122"/>
      <c r="Z11" s="122"/>
      <c r="AA11" s="34"/>
      <c r="AJ11" s="61"/>
      <c r="AM11" s="31" t="s">
        <v>30</v>
      </c>
      <c r="AN11" s="32" t="s">
        <v>157</v>
      </c>
    </row>
    <row r="12" spans="1:40" ht="15.75" thickBot="1" x14ac:dyDescent="0.3">
      <c r="A12" s="109">
        <v>1</v>
      </c>
      <c r="B12" s="109">
        <v>1</v>
      </c>
      <c r="C12" s="156"/>
      <c r="D12" s="105">
        <v>1</v>
      </c>
      <c r="E12" s="106"/>
      <c r="F12" s="107">
        <v>3</v>
      </c>
      <c r="G12" s="108">
        <v>3</v>
      </c>
      <c r="H12" s="161"/>
      <c r="I12" s="162"/>
      <c r="J12" s="162"/>
      <c r="K12" s="109" t="e">
        <f>IF(I12&lt;Standards_Data!M$18,"pass",IF(OR(H12&gt;Standards_Data!M$17,H12="undetermined"),"inhb","comp"))</f>
        <v>#DIV/0!</v>
      </c>
      <c r="L12" s="110" t="e">
        <f t="shared" si="1"/>
        <v>#DIV/0!</v>
      </c>
      <c r="M12" s="109" t="e">
        <f>IF(OR(COUNT(L10:L12)=0,Standards_Data!M$5&gt;Standards_Data!M$23)," ",IF(SUM(L10:L12) &gt;=2,"pass","fail"))</f>
        <v>#DIV/0!</v>
      </c>
      <c r="N12" s="182">
        <f>IF(H12="undetermined",0,IF(H12&gt;=Standards_Data!M$25,0,1))</f>
        <v>0</v>
      </c>
      <c r="O12" s="109" t="e">
        <f>IF(H12="undetermined","ND",IF(H12&gt;Standards_Data!M$22,"fail","pass"))</f>
        <v>#DIV/0!</v>
      </c>
      <c r="P12" s="109"/>
      <c r="Q12" s="109"/>
      <c r="R12" s="109"/>
      <c r="S12" s="111" t="e">
        <f>IF(AND(P10&gt;(Sketa22_Data!O$4+3*Sketa22_Data!O$5), P10&lt;= (Sketa22_Data!O$4+3.3)),P10-(Sketa22_Data!O$4+3*Sketa22_Data!O$5)," ")</f>
        <v>#DIV/0!</v>
      </c>
      <c r="T12" s="109" t="e">
        <f>IF(AND(P10&gt;(Sketa22_Data!O$4+3*Sketa22_Data!O$5), P10&lt;= (Sketa22_Data!O$4+3.3)),"pass"," ")</f>
        <v>#DIV/0!</v>
      </c>
      <c r="U12" s="109" t="e">
        <f>IF(AND(Sketa22_Data!O$5 &lt;0.62,OR(Q10="pass",T10="pass")),"pass"," ")</f>
        <v>#DIV/0!</v>
      </c>
      <c r="V12" s="109" t="e">
        <f>IF(AND(L12=1,M12="pass",O12="pass",U12="pass",Standards_Data!M$20="pass",Standards_Data!M$21="pass",Standards_Data!M$6="pass",Standards_Data!H$30="pass",Sketa22_Data!G$18="pass"),"pass","fail")</f>
        <v>#DIV/0!</v>
      </c>
      <c r="W12" s="123" t="e">
        <f t="shared" si="0"/>
        <v>#DIV/0!</v>
      </c>
      <c r="X12" s="123"/>
      <c r="Y12" s="123"/>
      <c r="Z12" s="123"/>
      <c r="AA12" s="109"/>
      <c r="AB12" s="112"/>
      <c r="AC12" s="113"/>
      <c r="AD12" s="114"/>
      <c r="AE12" s="114"/>
      <c r="AF12" s="114"/>
      <c r="AG12" s="114"/>
      <c r="AH12" s="115"/>
      <c r="AI12" s="116"/>
      <c r="AJ12" s="117"/>
      <c r="AM12" s="31" t="s">
        <v>85</v>
      </c>
      <c r="AN12" s="32" t="s">
        <v>158</v>
      </c>
    </row>
    <row r="13" spans="1:40" x14ac:dyDescent="0.25">
      <c r="A13" s="34">
        <v>1</v>
      </c>
      <c r="B13" s="34">
        <v>1</v>
      </c>
      <c r="C13" s="2"/>
      <c r="D13" s="101">
        <v>2</v>
      </c>
      <c r="E13" s="102"/>
      <c r="F13" s="103">
        <v>1</v>
      </c>
      <c r="G13" s="99">
        <v>4</v>
      </c>
      <c r="H13" s="173"/>
      <c r="I13" s="174"/>
      <c r="J13" s="175"/>
      <c r="K13" s="172" t="e">
        <f>IF(I13&lt;Standards_Data!M$18,"pass",IF(OR(H13&gt;Standards_Data!M$17,H13="undetermined"),"inhb","comp"))</f>
        <v>#DIV/0!</v>
      </c>
      <c r="L13" s="55" t="e">
        <f t="shared" si="1"/>
        <v>#DIV/0!</v>
      </c>
      <c r="M13" s="54" t="e">
        <f>IF(OR(COUNT(L13:L15)=0,Standards_Data!M$5&gt;Standards_Data!M$23)," ",IF(SUM(L13:L15) &gt;=2,"pass","fail"))</f>
        <v>#DIV/0!</v>
      </c>
      <c r="N13" s="56">
        <f>IF(H13="undetermined",0,IF(H13&gt;=Standards_Data!M$25,0,1))</f>
        <v>0</v>
      </c>
      <c r="O13" s="34" t="e">
        <f>IF(H13="undetermined","ND",IF(H13&gt;Standards_Data!M$22,"fail","pass"))</f>
        <v>#DIV/0!</v>
      </c>
      <c r="P13" s="57" t="str">
        <f>IF(COUNT(J13:J15)=0," ",AVERAGE(J13:J15))</f>
        <v xml:space="preserve"> </v>
      </c>
      <c r="Q13" s="54" t="str">
        <f>IF(P13=" "," ",IF(P13&gt; (Sketa22_Data!O$4+3*Sketa22_Data!O$5),"fail","pass"))</f>
        <v xml:space="preserve"> </v>
      </c>
      <c r="R13" s="54" t="str">
        <f>IF(P13=" "," ",IF(P13&gt; (Sketa22_Data!O$4+3.3),"fail","pass"))</f>
        <v xml:space="preserve"> </v>
      </c>
      <c r="S13" s="57" t="e">
        <f>IF(AND(P13&gt;(Sketa22_Data!O$4+3*Sketa22_Data!O$5), P13&lt;= (Sketa22_Data!O$4+3.3)),P13-(Sketa22_Data!O$4+3*Sketa22_Data!O$5)," ")</f>
        <v>#DIV/0!</v>
      </c>
      <c r="T13" s="54" t="e">
        <f>IF(AND(P13&gt;(Sketa22_Data!O$4+3*Sketa22_Data!O$5), P13&lt;= (Sketa22_Data!O$4+3.3)),"pass"," ")</f>
        <v>#DIV/0!</v>
      </c>
      <c r="U13" s="54" t="e">
        <f>IF(AND(Sketa22_Data!O$5 &lt;0.62,OR(Q13="pass",T13="pass")),"pass"," ")</f>
        <v>#DIV/0!</v>
      </c>
      <c r="V13" s="54" t="e">
        <f>IF(AND(L13=1,M13="pass",O13="pass",U13="pass",Standards_Data!M$20="pass",Standards_Data!M$21="pass",Standards_Data!M$6="pass",Standards_Data!H$30="pass",Sketa22_Data!G$18="pass"),"pass","fail")</f>
        <v>#DIV/0!</v>
      </c>
      <c r="W13" s="122" t="e">
        <f t="shared" si="0"/>
        <v>#DIV/0!</v>
      </c>
      <c r="X13" s="124" t="str">
        <f>IF(COUNT(W13:W21)=0,  " ",AVERAGE(W13:W21))</f>
        <v xml:space="preserve"> </v>
      </c>
      <c r="Y13" s="124" t="str">
        <f>IF( X13=" ", " ",(X13-Standards_Data!M$11)/Standards_Data!M$7)</f>
        <v xml:space="preserve"> </v>
      </c>
      <c r="Z13" s="124" t="str">
        <f>IF(Y13=" "," ",SQRT((1/Standards_Data!$M$7^2)*(Standards_Data!$M$12^2+AJ14^2+ (-2*(X13-Standards_Data!$M$11)*SUMSQ(Standards_Data!$AG$10:$AG$24)*AVERAGE(Standards_Data!$AE$10:$AE$24)/(DEVSQ(Standards_Data!$AE$10:$AE$24)*(COUNT(Standards_Data!$AG$10:$AG$24)-2)*Standards_Data!$M$7))+ ((X13-Standards_Data!$M$11)^2*Standards_Data!$M$8^2/(Standards_Data!$M$7^2)))))</f>
        <v xml:space="preserve"> </v>
      </c>
      <c r="AA13" s="104">
        <f>COUNT(W13:W21)</f>
        <v>0</v>
      </c>
      <c r="AD13" s="59" t="s">
        <v>0</v>
      </c>
      <c r="AE13" s="59" t="s">
        <v>1</v>
      </c>
      <c r="AF13" s="59" t="s">
        <v>2</v>
      </c>
      <c r="AG13" s="59" t="s">
        <v>3</v>
      </c>
      <c r="AI13" s="60" t="s">
        <v>95</v>
      </c>
      <c r="AJ13" s="61" t="e">
        <f>AVERAGE(W13:W21)</f>
        <v>#DIV/0!</v>
      </c>
      <c r="AM13" s="31" t="s">
        <v>90</v>
      </c>
      <c r="AN13" s="32" t="s">
        <v>160</v>
      </c>
    </row>
    <row r="14" spans="1:40" x14ac:dyDescent="0.25">
      <c r="A14" s="34">
        <v>1</v>
      </c>
      <c r="B14" s="34">
        <v>1</v>
      </c>
      <c r="C14" s="2"/>
      <c r="D14" s="96">
        <v>2</v>
      </c>
      <c r="E14" s="5"/>
      <c r="F14" s="98">
        <v>1</v>
      </c>
      <c r="G14" s="99">
        <v>4</v>
      </c>
      <c r="H14" s="158"/>
      <c r="I14" s="159"/>
      <c r="J14" s="176"/>
      <c r="K14" s="172" t="e">
        <f>IF(I14&lt;Standards_Data!M$18,"pass",IF(OR(H14&gt;Standards_Data!M$17,H14="undetermined"),"inhb","comp"))</f>
        <v>#DIV/0!</v>
      </c>
      <c r="L14" s="55" t="e">
        <f t="shared" si="1"/>
        <v>#DIV/0!</v>
      </c>
      <c r="M14" s="54" t="e">
        <f>IF(OR(COUNT(L13:L15)=0,Standards_Data!M$5&gt;Standards_Data!M$23)," ",IF(SUM(L13:L15) &gt;=2,"pass","fail"))</f>
        <v>#DIV/0!</v>
      </c>
      <c r="N14" s="56">
        <f>IF(H14="undetermined",0,IF(H14&gt;=Standards_Data!M$25,0,1))</f>
        <v>0</v>
      </c>
      <c r="O14" s="34" t="e">
        <f>IF(H14="undetermined","ND",IF(H14&gt;Standards_Data!M$22,"fail","pass"))</f>
        <v>#DIV/0!</v>
      </c>
      <c r="P14" s="54"/>
      <c r="Q14" s="54"/>
      <c r="R14" s="54"/>
      <c r="S14" s="57" t="e">
        <f>IF(AND(P13&gt;(Sketa22_Data!O$4+3*Sketa22_Data!O$5), P13&lt;= (Sketa22_Data!O$4+3.3)),P13-(Sketa22_Data!O$4+3*Sketa22_Data!O$5)," ")</f>
        <v>#DIV/0!</v>
      </c>
      <c r="T14" s="54" t="e">
        <f>IF(AND(P13&gt;(Sketa22_Data!O$4+3*Sketa22_Data!O$5), P13&lt;= (Sketa22_Data!O$4+3.3)),"pass"," ")</f>
        <v>#DIV/0!</v>
      </c>
      <c r="U14" s="54" t="e">
        <f>IF(AND(Sketa22_Data!O$5 &lt;0.62,OR(Q13="pass",T13="pass")),"pass"," ")</f>
        <v>#DIV/0!</v>
      </c>
      <c r="V14" s="54" t="e">
        <f>IF(AND(L14=1,M14="pass",O14="pass",U14="pass",Standards_Data!M$20="pass",Standards_Data!M$21="pass",Standards_Data!M$6="pass",Standards_Data!H$30="pass",Sketa22_Data!G$18="pass"),"pass","fail")</f>
        <v>#DIV/0!</v>
      </c>
      <c r="W14" s="122" t="e">
        <f t="shared" si="0"/>
        <v>#DIV/0!</v>
      </c>
      <c r="X14" s="122"/>
      <c r="Y14" s="122"/>
      <c r="Z14" s="122"/>
      <c r="AA14" s="34"/>
      <c r="AC14" s="62" t="s">
        <v>4</v>
      </c>
      <c r="AD14" s="36" t="e">
        <f>IF(COUNTBLANK(W13:W21) =9,0,DEVSQ(W13:W21))</f>
        <v>#DIV/0!</v>
      </c>
      <c r="AE14" s="41">
        <f>COUNT(W13:W21)-1</f>
        <v>-1</v>
      </c>
      <c r="AF14" s="36" t="e">
        <f>AD14/AE14</f>
        <v>#DIV/0!</v>
      </c>
      <c r="AG14" s="63" t="e">
        <f>IF((AG16 &lt;0),0,AG16) +    IF( (AG15 &lt;0),0,AG15)</f>
        <v>#DIV/0!</v>
      </c>
      <c r="AI14" s="53" t="s">
        <v>23</v>
      </c>
      <c r="AJ14" s="61">
        <f>IF(COUNT(W13:W21) &lt;=3,0,   IF(AG15 &gt;0,SQRT((AG16/(AE14+1))+(AG15*(COUNT(W13:W15)^2+COUNT(W16:W18)^2+COUNT(W19:W21)^2)/(AE14+1)^2)), STDEV(W13:W21)/SQRT(COUNT(W13:W21)  ) ))</f>
        <v>0</v>
      </c>
      <c r="AM14" s="31" t="s">
        <v>89</v>
      </c>
      <c r="AN14" s="32" t="s">
        <v>161</v>
      </c>
    </row>
    <row r="15" spans="1:40" x14ac:dyDescent="0.25">
      <c r="A15" s="34">
        <v>1</v>
      </c>
      <c r="B15" s="34">
        <v>1</v>
      </c>
      <c r="C15" s="2"/>
      <c r="D15" s="96">
        <v>2</v>
      </c>
      <c r="E15" s="5"/>
      <c r="F15" s="98">
        <v>1</v>
      </c>
      <c r="G15" s="99">
        <v>4</v>
      </c>
      <c r="H15" s="158"/>
      <c r="I15" s="159"/>
      <c r="J15" s="176"/>
      <c r="K15" s="172" t="e">
        <f>IF(I15&lt;Standards_Data!M$18,"pass",IF(OR(H15&gt;Standards_Data!M$17,H15="undetermined"),"inhb","comp"))</f>
        <v>#DIV/0!</v>
      </c>
      <c r="L15" s="55" t="e">
        <f t="shared" si="1"/>
        <v>#DIV/0!</v>
      </c>
      <c r="M15" s="54" t="e">
        <f>IF(OR(COUNT(L13:L15)=0,Standards_Data!M$5&gt;Standards_Data!M$23)," ",IF(SUM(L13:L15) &gt;=2,"pass","fail"))</f>
        <v>#DIV/0!</v>
      </c>
      <c r="N15" s="56">
        <f>IF(H15="undetermined",0,IF(H15&gt;=Standards_Data!M$25,0,1))</f>
        <v>0</v>
      </c>
      <c r="O15" s="34" t="e">
        <f>IF(H15="undetermined","ND",IF(H15&gt;Standards_Data!M$22,"fail","pass"))</f>
        <v>#DIV/0!</v>
      </c>
      <c r="P15" s="54"/>
      <c r="Q15" s="54"/>
      <c r="R15" s="54"/>
      <c r="S15" s="57" t="e">
        <f>IF(AND(P13&gt;(Sketa22_Data!O$4+3*Sketa22_Data!O$5), P13&lt;= (Sketa22_Data!O$4+3.3)),P13-(Sketa22_Data!O$4+3*Sketa22_Data!O$5)," ")</f>
        <v>#DIV/0!</v>
      </c>
      <c r="T15" s="54" t="e">
        <f>IF(AND(P13&gt;(Sketa22_Data!O$4+3*Sketa22_Data!O$5), P13&lt;= (Sketa22_Data!O$4+3.3)),"pass"," ")</f>
        <v>#DIV/0!</v>
      </c>
      <c r="U15" s="54" t="e">
        <f>IF(AND(Sketa22_Data!O$5 &lt;0.62,OR(Q13="pass",T13="pass")),"pass"," ")</f>
        <v>#DIV/0!</v>
      </c>
      <c r="V15" s="54" t="e">
        <f>IF(AND(L15=1,M15="pass",O15="pass",U15="pass",Standards_Data!M$20="pass",Standards_Data!M$21="pass",Standards_Data!M$6="pass",Standards_Data!H$30="pass",Sketa22_Data!G$18="pass"),"pass","fail")</f>
        <v>#DIV/0!</v>
      </c>
      <c r="W15" s="122" t="e">
        <f t="shared" si="0"/>
        <v>#DIV/0!</v>
      </c>
      <c r="X15" s="122"/>
      <c r="Y15" s="122"/>
      <c r="Z15" s="122"/>
      <c r="AA15" s="34"/>
      <c r="AC15" s="62" t="s">
        <v>6</v>
      </c>
      <c r="AD15" s="36" t="e">
        <f>AD14-(AD16)</f>
        <v>#DIV/0!</v>
      </c>
      <c r="AE15" s="41">
        <f>AE14 - AE16</f>
        <v>2</v>
      </c>
      <c r="AF15" s="36" t="e">
        <f>AD15/AE15</f>
        <v>#DIV/0!</v>
      </c>
      <c r="AG15" s="36" t="e">
        <f>(AF15-AF16)/(((COUNT(  W13:W15)+COUNT(  W16:W18)+COUNT(  W19:W21))-(COUNT(  W13:W15)^2+COUNT(  W16:W18)^2+COUNT(  W19:W21)^2)/(COUNT(  W13:W15)+COUNT(  W16:W18)+COUNT(  W19:W21)))/((IF(COUNTBLANK(  W13:W15)=3,0,1))+(IF(COUNTBLANK(  W16:W18)=3,0,1))+(IF(COUNTBLANK(  W19:W21)=3,0,1))-1))</f>
        <v>#DIV/0!</v>
      </c>
      <c r="AJ15" s="61"/>
      <c r="AM15" s="31" t="s">
        <v>86</v>
      </c>
      <c r="AN15" s="32" t="s">
        <v>162</v>
      </c>
    </row>
    <row r="16" spans="1:40" x14ac:dyDescent="0.25">
      <c r="A16" s="34">
        <v>1</v>
      </c>
      <c r="B16" s="34">
        <v>1</v>
      </c>
      <c r="C16" s="2"/>
      <c r="D16" s="96">
        <v>2</v>
      </c>
      <c r="E16" s="5"/>
      <c r="F16" s="98">
        <v>2</v>
      </c>
      <c r="G16" s="99">
        <v>5</v>
      </c>
      <c r="H16" s="158"/>
      <c r="I16" s="159"/>
      <c r="J16" s="176"/>
      <c r="K16" s="172" t="e">
        <f>IF(I16&lt;Standards_Data!M$18,"pass",IF(OR(H16&gt;Standards_Data!M$17,H16="undetermined"),"inhb","comp"))</f>
        <v>#DIV/0!</v>
      </c>
      <c r="L16" s="55" t="e">
        <f t="shared" si="1"/>
        <v>#DIV/0!</v>
      </c>
      <c r="M16" s="54" t="e">
        <f>IF(OR(COUNT(L16:L18)=0,Standards_Data!M$5&gt;Standards_Data!M$23)," ",IF(SUM(L16:L18) &gt;=2,"pass","fail"))</f>
        <v>#DIV/0!</v>
      </c>
      <c r="N16" s="56">
        <f>IF(H16="undetermined",0,IF(H16&gt;=Standards_Data!M$25,0,1))</f>
        <v>0</v>
      </c>
      <c r="O16" s="34" t="e">
        <f>IF(H16="undetermined","ND",IF(H16&gt;Standards_Data!M$22,"fail","pass"))</f>
        <v>#DIV/0!</v>
      </c>
      <c r="P16" s="57" t="str">
        <f>IF(COUNT(J16:J18)=0," ",AVERAGE(J16:J18))</f>
        <v xml:space="preserve"> </v>
      </c>
      <c r="Q16" s="54" t="str">
        <f>IF(P16=" "," ",IF(P16&gt; (Sketa22_Data!O$4+3*Sketa22_Data!O$5),"fail","pass"))</f>
        <v xml:space="preserve"> </v>
      </c>
      <c r="R16" s="54" t="str">
        <f>IF(P16=" "," ",IF(P16&gt; (Sketa22_Data!O$4+3.3),"fail","pass"))</f>
        <v xml:space="preserve"> </v>
      </c>
      <c r="S16" s="57" t="e">
        <f>IF(AND(P16&gt;(Sketa22_Data!O$4+3*Sketa22_Data!O$5), P16&lt;= (Sketa22_Data!O$4+3.3)),P16-(Sketa22_Data!O$4+3*Sketa22_Data!O$5)," ")</f>
        <v>#DIV/0!</v>
      </c>
      <c r="T16" s="54" t="e">
        <f>IF(AND(P16&gt;(Sketa22_Data!O$4+3*Sketa22_Data!O$5), P16&lt;= (Sketa22_Data!O$4+3.3)),"pass"," ")</f>
        <v>#DIV/0!</v>
      </c>
      <c r="U16" s="54" t="e">
        <f>IF(AND(Sketa22_Data!O$5 &lt;0.62,OR(Q16="pass",T16="pass")),"pass"," ")</f>
        <v>#DIV/0!</v>
      </c>
      <c r="V16" s="54" t="e">
        <f>IF(AND(L16=1,M16="pass",O16="pass",U16="pass",Standards_Data!M$20="pass",Standards_Data!M$21="pass",Standards_Data!M$6="pass",Standards_Data!H$30="pass",Sketa22_Data!G$18="pass"),"pass","fail")</f>
        <v>#DIV/0!</v>
      </c>
      <c r="W16" s="122" t="e">
        <f t="shared" si="0"/>
        <v>#DIV/0!</v>
      </c>
      <c r="X16" s="122"/>
      <c r="Y16" s="122"/>
      <c r="Z16" s="122"/>
      <c r="AA16" s="34"/>
      <c r="AC16" s="62" t="s">
        <v>5</v>
      </c>
      <c r="AD16" s="36" t="e">
        <f>IF(COUNTBLANK(  W13:W15)=3,0,DEVSQ(  W13:W15))+IF(COUNTBLANK(  W16:W18)=3,0,DEVSQ(  W16:W18))+IF(COUNTBLANK(  W19:W21)=3,0,DEVSQ(  W19:W21))</f>
        <v>#DIV/0!</v>
      </c>
      <c r="AE16" s="36">
        <f>IF(COUNTBLANK(  W13:W15)=3,0,COUNT(  W13:W15)-1)+IF(COUNTBLANK(  W16:W18)=3,0,COUNT(  W16:W18)-1)+IF(COUNTBLANK(  W19:W21)=3,0,COUNT(  W19:W21)-1)</f>
        <v>-3</v>
      </c>
      <c r="AF16" s="36" t="e">
        <f>AD16/AE16</f>
        <v>#DIV/0!</v>
      </c>
      <c r="AG16" s="36" t="e">
        <f>AF16</f>
        <v>#DIV/0!</v>
      </c>
      <c r="AJ16" s="61"/>
      <c r="AM16" s="31" t="s">
        <v>87</v>
      </c>
      <c r="AN16" s="32" t="s">
        <v>163</v>
      </c>
    </row>
    <row r="17" spans="1:40" x14ac:dyDescent="0.25">
      <c r="A17" s="34">
        <v>1</v>
      </c>
      <c r="B17" s="34">
        <v>1</v>
      </c>
      <c r="C17" s="2"/>
      <c r="D17" s="96">
        <v>2</v>
      </c>
      <c r="E17" s="5"/>
      <c r="F17" s="98">
        <v>2</v>
      </c>
      <c r="G17" s="99">
        <v>5</v>
      </c>
      <c r="H17" s="158"/>
      <c r="I17" s="159"/>
      <c r="J17" s="176"/>
      <c r="K17" s="172" t="e">
        <f>IF(I17&lt;Standards_Data!M$18,"pass",IF(OR(H17&gt;Standards_Data!M$17,H17="undetermined"),"inhb","comp"))</f>
        <v>#DIV/0!</v>
      </c>
      <c r="L17" s="55" t="e">
        <f t="shared" si="1"/>
        <v>#DIV/0!</v>
      </c>
      <c r="M17" s="54" t="e">
        <f>IF(OR(COUNT(L16:L18)=0,Standards_Data!M$5&gt;Standards_Data!M$23)," ",IF(SUM(L16:L18) &gt;=2,"pass","fail"))</f>
        <v>#DIV/0!</v>
      </c>
      <c r="N17" s="56">
        <f>IF(H17="undetermined",0,IF(H17&gt;=Standards_Data!M$25,0,1))</f>
        <v>0</v>
      </c>
      <c r="O17" s="34" t="e">
        <f>IF(H17="undetermined","ND",IF(H17&gt;Standards_Data!M$22,"fail","pass"))</f>
        <v>#DIV/0!</v>
      </c>
      <c r="P17" s="54"/>
      <c r="Q17" s="54"/>
      <c r="R17" s="54"/>
      <c r="S17" s="57" t="e">
        <f>IF(AND(P16&gt;(Sketa22_Data!O$4+3*Sketa22_Data!O$5), P16&lt;= (Sketa22_Data!O$4+3.3)),P16-(Sketa22_Data!O$4+3*Sketa22_Data!O$5)," ")</f>
        <v>#DIV/0!</v>
      </c>
      <c r="T17" s="54" t="e">
        <f>IF(AND(P16&gt;(Sketa22_Data!O$4+3*Sketa22_Data!O$5), P16&lt;= (Sketa22_Data!O$4+3.3)),"pass"," ")</f>
        <v>#DIV/0!</v>
      </c>
      <c r="U17" s="54" t="e">
        <f>IF(AND(Sketa22_Data!O$5 &lt;0.62,OR(Q16="pass",T16="pass")),"pass"," ")</f>
        <v>#DIV/0!</v>
      </c>
      <c r="V17" s="54" t="e">
        <f>IF(AND(L17=1,M17="pass",O17="pass",U17="pass",Standards_Data!M$20="pass",Standards_Data!M$21="pass",Standards_Data!M$6="pass",Standards_Data!H$30="pass",Sketa22_Data!G$18="pass"),"pass","fail")</f>
        <v>#DIV/0!</v>
      </c>
      <c r="W17" s="122" t="e">
        <f t="shared" si="0"/>
        <v>#DIV/0!</v>
      </c>
      <c r="X17" s="122"/>
      <c r="Y17" s="122"/>
      <c r="Z17" s="122"/>
      <c r="AA17" s="34"/>
      <c r="AC17" s="62"/>
      <c r="AD17" s="36"/>
      <c r="AE17" s="41"/>
      <c r="AF17" s="36"/>
      <c r="AG17" s="63"/>
      <c r="AJ17" s="61"/>
      <c r="AM17" s="31" t="s">
        <v>88</v>
      </c>
      <c r="AN17" s="32" t="s">
        <v>164</v>
      </c>
    </row>
    <row r="18" spans="1:40" x14ac:dyDescent="0.25">
      <c r="A18" s="34">
        <v>1</v>
      </c>
      <c r="B18" s="34">
        <v>1</v>
      </c>
      <c r="C18" s="2"/>
      <c r="D18" s="96">
        <v>2</v>
      </c>
      <c r="E18" s="5"/>
      <c r="F18" s="98">
        <v>2</v>
      </c>
      <c r="G18" s="99">
        <v>5</v>
      </c>
      <c r="H18" s="158"/>
      <c r="I18" s="159"/>
      <c r="J18" s="176"/>
      <c r="K18" s="172" t="e">
        <f>IF(I18&lt;Standards_Data!M$18,"pass",IF(OR(H18&gt;Standards_Data!M$17,H18="undetermined"),"inhb","comp"))</f>
        <v>#DIV/0!</v>
      </c>
      <c r="L18" s="55" t="e">
        <f t="shared" si="1"/>
        <v>#DIV/0!</v>
      </c>
      <c r="M18" s="54" t="e">
        <f>IF(OR(COUNT(L16:L18)=0,Standards_Data!M$5&gt;Standards_Data!M$23)," ",IF(SUM(L16:L18) &gt;=2,"pass","fail"))</f>
        <v>#DIV/0!</v>
      </c>
      <c r="N18" s="56">
        <f>IF(H18="undetermined",0,IF(H18&gt;=Standards_Data!M$25,0,1))</f>
        <v>0</v>
      </c>
      <c r="O18" s="34" t="e">
        <f>IF(H18="undetermined","ND",IF(H18&gt;Standards_Data!M$22,"fail","pass"))</f>
        <v>#DIV/0!</v>
      </c>
      <c r="P18" s="54"/>
      <c r="Q18" s="54"/>
      <c r="R18" s="54"/>
      <c r="S18" s="57" t="e">
        <f>IF(AND(P16&gt;(Sketa22_Data!O$4+3*Sketa22_Data!O$5), P16&lt;= (Sketa22_Data!O$4+3.3)),P16-(Sketa22_Data!O$4+3*Sketa22_Data!O$5)," ")</f>
        <v>#DIV/0!</v>
      </c>
      <c r="T18" s="54" t="e">
        <f>IF(AND(P16&gt;(Sketa22_Data!O$4+3*Sketa22_Data!O$5), P16&lt;= (Sketa22_Data!O$4+3.3)),"pass"," ")</f>
        <v>#DIV/0!</v>
      </c>
      <c r="U18" s="54" t="e">
        <f>IF(AND(Sketa22_Data!O$5 &lt;0.62,OR(Q16="pass",T16="pass")),"pass"," ")</f>
        <v>#DIV/0!</v>
      </c>
      <c r="V18" s="54" t="e">
        <f>IF(AND(L18=1,M18="pass",O18="pass",U18="pass",Standards_Data!M$20="pass",Standards_Data!M$21="pass",Standards_Data!M$6="pass",Standards_Data!H$30="pass",Sketa22_Data!G$18="pass"),"pass","fail")</f>
        <v>#DIV/0!</v>
      </c>
      <c r="W18" s="122" t="e">
        <f t="shared" si="0"/>
        <v>#DIV/0!</v>
      </c>
      <c r="X18" s="122"/>
      <c r="Y18" s="122"/>
      <c r="Z18" s="122"/>
      <c r="AA18" s="34"/>
      <c r="AC18" s="62"/>
      <c r="AD18" s="36"/>
      <c r="AE18" s="41"/>
      <c r="AF18" s="36"/>
      <c r="AG18" s="36"/>
      <c r="AJ18" s="61"/>
      <c r="AM18" s="31" t="s">
        <v>91</v>
      </c>
      <c r="AN18" s="32" t="s">
        <v>165</v>
      </c>
    </row>
    <row r="19" spans="1:40" x14ac:dyDescent="0.25">
      <c r="A19" s="34">
        <v>1</v>
      </c>
      <c r="B19" s="34">
        <v>1</v>
      </c>
      <c r="C19" s="2"/>
      <c r="D19" s="96">
        <v>2</v>
      </c>
      <c r="E19" s="5"/>
      <c r="F19" s="98">
        <v>3</v>
      </c>
      <c r="G19" s="99">
        <v>6</v>
      </c>
      <c r="H19" s="158"/>
      <c r="I19" s="159"/>
      <c r="J19" s="176"/>
      <c r="K19" s="172" t="e">
        <f>IF(I19&lt;Standards_Data!M$18,"pass",IF(OR(H19&gt;Standards_Data!M$17,H19="undetermined"),"inhb","comp"))</f>
        <v>#DIV/0!</v>
      </c>
      <c r="L19" s="55" t="e">
        <f t="shared" si="1"/>
        <v>#DIV/0!</v>
      </c>
      <c r="M19" s="54" t="e">
        <f>IF(OR(COUNT(L19:L21)=0,Standards_Data!M$5&gt;Standards_Data!M$23)," ",IF(SUM(L19:L21) &gt;=2,"pass","fail"))</f>
        <v>#DIV/0!</v>
      </c>
      <c r="N19" s="56">
        <f>IF(H19="undetermined",0,IF(H19&gt;=Standards_Data!M$25,0,1))</f>
        <v>0</v>
      </c>
      <c r="O19" s="34" t="e">
        <f>IF(H19="undetermined","ND",IF(H19&gt;Standards_Data!M$22,"fail","pass"))</f>
        <v>#DIV/0!</v>
      </c>
      <c r="P19" s="57" t="str">
        <f>IF(COUNT(J19:J21)=0," ",AVERAGE(J19:J21))</f>
        <v xml:space="preserve"> </v>
      </c>
      <c r="Q19" s="54" t="str">
        <f>IF(P19=" "," ",IF(P19&gt; (Sketa22_Data!O$4+3*Sketa22_Data!O$5),"fail","pass"))</f>
        <v xml:space="preserve"> </v>
      </c>
      <c r="R19" s="54" t="str">
        <f>IF(P19=" "," ",IF(P19&gt; (Sketa22_Data!O$4+3.3),"fail","pass"))</f>
        <v xml:space="preserve"> </v>
      </c>
      <c r="S19" s="57" t="e">
        <f>IF(AND(P19&gt;(Sketa22_Data!O$4+3*Sketa22_Data!O$5), P19&lt;= (Sketa22_Data!O$4+3.3)),P19-(Sketa22_Data!O$4+3*Sketa22_Data!O$5)," ")</f>
        <v>#DIV/0!</v>
      </c>
      <c r="T19" s="54" t="e">
        <f>IF(AND(P19&gt;(Sketa22_Data!O$4+3*Sketa22_Data!O$5), P19&lt;= (Sketa22_Data!O$4+3.3)),"pass"," ")</f>
        <v>#DIV/0!</v>
      </c>
      <c r="U19" s="54" t="e">
        <f>IF(AND(Sketa22_Data!O$5 &lt;0.62,OR(Q19="pass",T19="pass")),"pass"," ")</f>
        <v>#DIV/0!</v>
      </c>
      <c r="V19" s="54" t="e">
        <f>IF(AND(L19=1,M19="pass",O19="pass",U19="pass",Standards_Data!M$20="pass",Standards_Data!M$21="pass",Standards_Data!M$6="pass",Standards_Data!H$30="pass",Sketa22_Data!G$18="pass"),"pass","fail")</f>
        <v>#DIV/0!</v>
      </c>
      <c r="W19" s="122" t="e">
        <f t="shared" si="0"/>
        <v>#DIV/0!</v>
      </c>
      <c r="X19" s="122"/>
      <c r="Y19" s="122"/>
      <c r="Z19" s="122"/>
      <c r="AA19" s="34"/>
      <c r="AC19" s="62"/>
      <c r="AD19" s="36"/>
      <c r="AE19" s="36"/>
      <c r="AF19" s="36"/>
      <c r="AG19" s="36"/>
      <c r="AJ19" s="61"/>
      <c r="AM19" s="31" t="s">
        <v>92</v>
      </c>
      <c r="AN19" s="32" t="s">
        <v>166</v>
      </c>
    </row>
    <row r="20" spans="1:40" x14ac:dyDescent="0.25">
      <c r="A20" s="34">
        <v>1</v>
      </c>
      <c r="B20" s="34">
        <v>1</v>
      </c>
      <c r="C20" s="2"/>
      <c r="D20" s="96">
        <v>2</v>
      </c>
      <c r="E20" s="5"/>
      <c r="F20" s="98">
        <v>3</v>
      </c>
      <c r="G20" s="99">
        <v>6</v>
      </c>
      <c r="H20" s="158"/>
      <c r="I20" s="159"/>
      <c r="J20" s="176"/>
      <c r="K20" s="172" t="e">
        <f>IF(I20&lt;Standards_Data!M$18,"pass",IF(OR(H20&gt;Standards_Data!M$17,H20="undetermined"),"inhb","comp"))</f>
        <v>#DIV/0!</v>
      </c>
      <c r="L20" s="55" t="e">
        <f t="shared" si="1"/>
        <v>#DIV/0!</v>
      </c>
      <c r="M20" s="54" t="e">
        <f>IF(OR(COUNT(L19:L21)=0,Standards_Data!M$5&gt;Standards_Data!M$23)," ",IF(SUM(L19:L21) &gt;=2,"pass","fail"))</f>
        <v>#DIV/0!</v>
      </c>
      <c r="N20" s="56">
        <f>IF(H20="undetermined",0,IF(H20&gt;=Standards_Data!M$25,0,1))</f>
        <v>0</v>
      </c>
      <c r="O20" s="34" t="e">
        <f>IF(H20="undetermined","ND",IF(H20&gt;Standards_Data!M$22,"fail","pass"))</f>
        <v>#DIV/0!</v>
      </c>
      <c r="P20" s="54"/>
      <c r="Q20" s="54"/>
      <c r="R20" s="54"/>
      <c r="S20" s="57" t="e">
        <f>IF(AND(P19&gt;(Sketa22_Data!O$4+3*Sketa22_Data!O$5), P19&lt;= (Sketa22_Data!O$4+3.3)),P19-(Sketa22_Data!O$4+3*Sketa22_Data!O$5)," ")</f>
        <v>#DIV/0!</v>
      </c>
      <c r="T20" s="54" t="e">
        <f>IF(AND(P19&gt;(Sketa22_Data!O$4+3*Sketa22_Data!O$5), P19&lt;= (Sketa22_Data!O$4+3.3)),"pass"," ")</f>
        <v>#DIV/0!</v>
      </c>
      <c r="U20" s="54" t="e">
        <f>IF(AND(Sketa22_Data!O$5 &lt;0.62,OR(Q19="pass",T19="pass")),"pass"," ")</f>
        <v>#DIV/0!</v>
      </c>
      <c r="V20" s="54" t="e">
        <f>IF(AND(L20=1,M20="pass",O20="pass",U20="pass",Standards_Data!M$20="pass",Standards_Data!M$21="pass",Standards_Data!M$6="pass",Standards_Data!H$30="pass",Sketa22_Data!G$18="pass"),"pass","fail")</f>
        <v>#DIV/0!</v>
      </c>
      <c r="W20" s="122" t="e">
        <f t="shared" si="0"/>
        <v>#DIV/0!</v>
      </c>
      <c r="X20" s="122"/>
      <c r="Y20" s="122"/>
      <c r="Z20" s="122"/>
      <c r="AA20" s="34"/>
      <c r="AJ20" s="61"/>
      <c r="AM20" s="31" t="s">
        <v>93</v>
      </c>
      <c r="AN20" s="32" t="s">
        <v>167</v>
      </c>
    </row>
    <row r="21" spans="1:40" ht="15.75" thickBot="1" x14ac:dyDescent="0.3">
      <c r="A21" s="109">
        <v>1</v>
      </c>
      <c r="B21" s="109">
        <v>1</v>
      </c>
      <c r="C21" s="156"/>
      <c r="D21" s="105">
        <v>2</v>
      </c>
      <c r="E21" s="106"/>
      <c r="F21" s="107">
        <v>3</v>
      </c>
      <c r="G21" s="108">
        <v>6</v>
      </c>
      <c r="H21" s="161"/>
      <c r="I21" s="162"/>
      <c r="J21" s="177"/>
      <c r="K21" s="109" t="e">
        <f>IF(I21&lt;Standards_Data!M$18,"pass",IF(OR(H21&gt;Standards_Data!M$17,H21="undetermined"),"inhb","comp"))</f>
        <v>#DIV/0!</v>
      </c>
      <c r="L21" s="110" t="e">
        <f t="shared" si="1"/>
        <v>#DIV/0!</v>
      </c>
      <c r="M21" s="109" t="e">
        <f>IF(OR(COUNT(L19:L21)=0,Standards_Data!M$5&gt;Standards_Data!M$23)," ",IF(SUM(L19:L21) &gt;=2,"pass","fail"))</f>
        <v>#DIV/0!</v>
      </c>
      <c r="N21" s="182">
        <f>IF(H21="undetermined",0,IF(H21&gt;=Standards_Data!M$25,0,1))</f>
        <v>0</v>
      </c>
      <c r="O21" s="109" t="e">
        <f>IF(H21="undetermined","ND",IF(H21&gt;Standards_Data!M$22,"fail","pass"))</f>
        <v>#DIV/0!</v>
      </c>
      <c r="P21" s="109"/>
      <c r="Q21" s="109"/>
      <c r="R21" s="109"/>
      <c r="S21" s="111" t="e">
        <f>IF(AND(P19&gt;(Sketa22_Data!O$4+3*Sketa22_Data!O$5), P19&lt;= (Sketa22_Data!O$4+3.3)),P19-(Sketa22_Data!O$4+3*Sketa22_Data!O$5)," ")</f>
        <v>#DIV/0!</v>
      </c>
      <c r="T21" s="109" t="e">
        <f>IF(AND(P19&gt;(Sketa22_Data!O$4+3*Sketa22_Data!O$5), P19&lt;= (Sketa22_Data!O$4+3.3)),"pass"," ")</f>
        <v>#DIV/0!</v>
      </c>
      <c r="U21" s="109" t="e">
        <f>IF(AND(Sketa22_Data!O$5 &lt;0.62,OR(Q19="pass",T19="pass")),"pass"," ")</f>
        <v>#DIV/0!</v>
      </c>
      <c r="V21" s="109" t="e">
        <f>IF(AND(L21=1,M21="pass",O21="pass",U21="pass",Standards_Data!M$20="pass",Standards_Data!M$21="pass",Standards_Data!M$6="pass",Standards_Data!H$30="pass",Sketa22_Data!G$18="pass"),"pass","fail")</f>
        <v>#DIV/0!</v>
      </c>
      <c r="W21" s="123" t="e">
        <f t="shared" si="0"/>
        <v>#DIV/0!</v>
      </c>
      <c r="X21" s="123"/>
      <c r="Y21" s="123"/>
      <c r="Z21" s="123"/>
      <c r="AA21" s="109"/>
      <c r="AB21" s="112"/>
      <c r="AC21" s="113"/>
      <c r="AD21" s="114"/>
      <c r="AE21" s="114"/>
      <c r="AF21" s="114"/>
      <c r="AG21" s="114"/>
      <c r="AH21" s="115"/>
      <c r="AI21" s="116"/>
      <c r="AJ21" s="117"/>
      <c r="AM21" s="31" t="s">
        <v>31</v>
      </c>
      <c r="AN21" s="32" t="s">
        <v>146</v>
      </c>
    </row>
    <row r="22" spans="1:40" x14ac:dyDescent="0.25">
      <c r="A22" s="34">
        <v>1</v>
      </c>
      <c r="B22" s="34">
        <v>1</v>
      </c>
      <c r="C22" s="2"/>
      <c r="D22" s="101">
        <v>3</v>
      </c>
      <c r="E22" s="102"/>
      <c r="F22" s="103">
        <v>1</v>
      </c>
      <c r="G22" s="99">
        <v>7</v>
      </c>
      <c r="H22" s="173"/>
      <c r="I22" s="174"/>
      <c r="J22" s="178"/>
      <c r="K22" s="172" t="e">
        <f>IF(I22&lt;Standards_Data!M$18,"pass",IF(OR(H22&gt;Standards_Data!M$17,H22="undetermined"),"inhb","comp"))</f>
        <v>#DIV/0!</v>
      </c>
      <c r="L22" s="55" t="e">
        <f t="shared" si="1"/>
        <v>#DIV/0!</v>
      </c>
      <c r="M22" s="54" t="e">
        <f>IF(OR(COUNT(L22:L24)=0,Standards_Data!M$5&gt;Standards_Data!M$23)," ",IF(SUM(L22:L24) &gt;=2,"pass","fail"))</f>
        <v>#DIV/0!</v>
      </c>
      <c r="N22" s="56">
        <f>IF(H22="undetermined",0,IF(H22&gt;=Standards_Data!M$25,0,1))</f>
        <v>0</v>
      </c>
      <c r="O22" s="34" t="e">
        <f>IF(H22="undetermined","ND",IF(H22&gt;Standards_Data!M$22,"fail","pass"))</f>
        <v>#DIV/0!</v>
      </c>
      <c r="P22" s="57" t="str">
        <f>IF(COUNT(J22:J24)=0," ",AVERAGE(J22:J24))</f>
        <v xml:space="preserve"> </v>
      </c>
      <c r="Q22" s="54" t="str">
        <f>IF(P22=" "," ",IF(P22&gt; (Sketa22_Data!O$4+3*Sketa22_Data!O$5),"fail","pass"))</f>
        <v xml:space="preserve"> </v>
      </c>
      <c r="R22" s="54" t="str">
        <f>IF(P22=" "," ",IF(P22&gt; (Sketa22_Data!O$4+3.3),"fail","pass"))</f>
        <v xml:space="preserve"> </v>
      </c>
      <c r="S22" s="57" t="e">
        <f>IF(AND(P22&gt;(Sketa22_Data!O$4+3*Sketa22_Data!O$5), P22&lt;= (Sketa22_Data!O$4+3.3)),P22-(Sketa22_Data!O$4+3*Sketa22_Data!O$5)," ")</f>
        <v>#DIV/0!</v>
      </c>
      <c r="T22" s="54" t="e">
        <f>IF(AND(P22&gt;(Sketa22_Data!O$4+3*Sketa22_Data!O$5), P22&lt;= (Sketa22_Data!O$4+3.3)),"pass"," ")</f>
        <v>#DIV/0!</v>
      </c>
      <c r="U22" s="54" t="e">
        <f>IF(AND(Sketa22_Data!O$5 &lt;0.62,OR(Q22="pass",T22="pass")),"pass"," ")</f>
        <v>#DIV/0!</v>
      </c>
      <c r="V22" s="54" t="e">
        <f>IF(AND(L22=1,M22="pass",O22="pass",U22="pass",Standards_Data!M$20="pass",Standards_Data!M$21="pass",Standards_Data!M$6="pass",Standards_Data!H$30="pass",Sketa22_Data!G$18="pass"),"pass","fail")</f>
        <v>#DIV/0!</v>
      </c>
      <c r="W22" s="122" t="e">
        <f t="shared" si="0"/>
        <v>#DIV/0!</v>
      </c>
      <c r="X22" s="124" t="str">
        <f>IF(COUNT(W22:W30)=0,  " ",AVERAGE(W22:W30))</f>
        <v xml:space="preserve"> </v>
      </c>
      <c r="Y22" s="124" t="str">
        <f>IF( X22=" ", " ",(X22-Standards_Data!M$11)/Standards_Data!M$7)</f>
        <v xml:space="preserve"> </v>
      </c>
      <c r="Z22" s="124" t="str">
        <f>IF(Y22=" "," ",SQRT((1/Standards_Data!$M$7^2)*(Standards_Data!$M$12^2+AJ23^2+ (-2*(X22-Standards_Data!$M$11)*SUMSQ(Standards_Data!$AG$10:$AG$24)*AVERAGE(Standards_Data!$AE$10:$AE$24)/(DEVSQ(Standards_Data!$AE$10:$AE$24)*(COUNT(Standards_Data!$AG$10:$AG$24)-2)*Standards_Data!$M$7))+ ((X22-Standards_Data!$M$11)^2*Standards_Data!$M$8^2/(Standards_Data!$M$7^2)))))</f>
        <v xml:space="preserve"> </v>
      </c>
      <c r="AA22" s="104">
        <f>COUNT(W22:W30)</f>
        <v>0</v>
      </c>
      <c r="AD22" s="59" t="s">
        <v>0</v>
      </c>
      <c r="AE22" s="59" t="s">
        <v>1</v>
      </c>
      <c r="AF22" s="59" t="s">
        <v>2</v>
      </c>
      <c r="AG22" s="59" t="s">
        <v>3</v>
      </c>
      <c r="AI22" s="60" t="s">
        <v>95</v>
      </c>
      <c r="AJ22" s="61" t="e">
        <f>AVERAGE(W22:W30)</f>
        <v>#DIV/0!</v>
      </c>
      <c r="AM22" s="31" t="s">
        <v>206</v>
      </c>
      <c r="AN22" s="32" t="s">
        <v>207</v>
      </c>
    </row>
    <row r="23" spans="1:40" x14ac:dyDescent="0.25">
      <c r="A23" s="34">
        <v>1</v>
      </c>
      <c r="B23" s="34">
        <v>1</v>
      </c>
      <c r="C23" s="2"/>
      <c r="D23" s="96">
        <v>3</v>
      </c>
      <c r="E23" s="5"/>
      <c r="F23" s="98">
        <v>1</v>
      </c>
      <c r="G23" s="99">
        <v>7</v>
      </c>
      <c r="H23" s="158"/>
      <c r="I23" s="159"/>
      <c r="J23" s="160"/>
      <c r="K23" s="172" t="e">
        <f>IF(I23&lt;Standards_Data!M$18,"pass",IF(OR(H23&gt;Standards_Data!M$17,H23="undetermined"),"inhb","comp"))</f>
        <v>#DIV/0!</v>
      </c>
      <c r="L23" s="55" t="e">
        <f t="shared" si="1"/>
        <v>#DIV/0!</v>
      </c>
      <c r="M23" s="54" t="e">
        <f>IF(OR(COUNT(L22:L24)=0,Standards_Data!M$5&gt;Standards_Data!M$23)," ",IF(SUM(L22:L24) &gt;=2,"pass","fail"))</f>
        <v>#DIV/0!</v>
      </c>
      <c r="N23" s="56">
        <f>IF(H23="undetermined",0,IF(H23&gt;=Standards_Data!M$25,0,1))</f>
        <v>0</v>
      </c>
      <c r="O23" s="34" t="e">
        <f>IF(H23="undetermined","ND",IF(H23&gt;Standards_Data!M$22,"fail","pass"))</f>
        <v>#DIV/0!</v>
      </c>
      <c r="P23" s="54"/>
      <c r="Q23" s="54"/>
      <c r="R23" s="54"/>
      <c r="S23" s="57" t="e">
        <f>IF(AND(P22&gt;(Sketa22_Data!O$4+3*Sketa22_Data!O$5), P22&lt;= (Sketa22_Data!O$4+3.3)),P22-(Sketa22_Data!O$4+3*Sketa22_Data!O$5)," ")</f>
        <v>#DIV/0!</v>
      </c>
      <c r="T23" s="54" t="e">
        <f>IF(AND(P22&gt;(Sketa22_Data!O$4+3*Sketa22_Data!O$5), P22&lt;= (Sketa22_Data!O$4+3.3)),"pass"," ")</f>
        <v>#DIV/0!</v>
      </c>
      <c r="U23" s="54" t="e">
        <f>IF(AND(Sketa22_Data!O$5 &lt;0.62,OR(Q22="pass",T22="pass")),"pass"," ")</f>
        <v>#DIV/0!</v>
      </c>
      <c r="V23" s="54" t="e">
        <f>IF(AND(L23=1,M23="pass",O23="pass",U23="pass",Standards_Data!M$20="pass",Standards_Data!M$21="pass",Standards_Data!M$6="pass",Standards_Data!H$30="pass",Sketa22_Data!G$18="pass"),"pass","fail")</f>
        <v>#DIV/0!</v>
      </c>
      <c r="W23" s="122" t="e">
        <f t="shared" si="0"/>
        <v>#DIV/0!</v>
      </c>
      <c r="X23" s="122"/>
      <c r="Y23" s="122"/>
      <c r="Z23" s="122"/>
      <c r="AA23" s="34"/>
      <c r="AC23" s="62" t="s">
        <v>4</v>
      </c>
      <c r="AD23" s="36" t="e">
        <f>IF(COUNTBLANK(W22:W30) =9,0,DEVSQ(W22:W30))</f>
        <v>#DIV/0!</v>
      </c>
      <c r="AE23" s="41">
        <f>COUNT(W22:W30)-1</f>
        <v>-1</v>
      </c>
      <c r="AF23" s="36" t="e">
        <f>AD23/AE23</f>
        <v>#DIV/0!</v>
      </c>
      <c r="AG23" s="63" t="e">
        <f>IF((AG25 &lt;0),0,AG25) +    IF( (AG24 &lt;0),0,AG24)</f>
        <v>#DIV/0!</v>
      </c>
      <c r="AI23" s="53" t="s">
        <v>23</v>
      </c>
      <c r="AJ23" s="61">
        <f>IF(COUNT(W22:W30) &lt;=3,0,   IF(AG24 &gt;0,SQRT((AG25/(AE23+1))+(AG24*(COUNT(W22:W24)^2+COUNT(W25:W27)^2+COUNT(W28:W30)^2)/(AE23+1)^2)), STDEV(W22:W30)/SQRT(COUNT(W22:W30)  ) ))</f>
        <v>0</v>
      </c>
      <c r="AM23" s="31" t="s">
        <v>23</v>
      </c>
      <c r="AN23" s="32" t="s">
        <v>170</v>
      </c>
    </row>
    <row r="24" spans="1:40" x14ac:dyDescent="0.25">
      <c r="A24" s="34">
        <v>1</v>
      </c>
      <c r="B24" s="34">
        <v>1</v>
      </c>
      <c r="C24" s="2"/>
      <c r="D24" s="96">
        <v>3</v>
      </c>
      <c r="E24" s="5"/>
      <c r="F24" s="98">
        <v>1</v>
      </c>
      <c r="G24" s="99">
        <v>7</v>
      </c>
      <c r="H24" s="158"/>
      <c r="I24" s="159"/>
      <c r="J24" s="160"/>
      <c r="K24" s="172" t="e">
        <f>IF(I24&lt;Standards_Data!M$18,"pass",IF(OR(H24&gt;Standards_Data!M$17,H24="undetermined"),"inhb","comp"))</f>
        <v>#DIV/0!</v>
      </c>
      <c r="L24" s="55" t="e">
        <f t="shared" si="1"/>
        <v>#DIV/0!</v>
      </c>
      <c r="M24" s="54" t="e">
        <f>IF(OR(COUNT(L22:L24)=0,Standards_Data!M$5&gt;Standards_Data!M$23)," ",IF(SUM(L22:L24) &gt;=2,"pass","fail"))</f>
        <v>#DIV/0!</v>
      </c>
      <c r="N24" s="56">
        <f>IF(H24="undetermined",0,IF(H24&gt;=Standards_Data!M$25,0,1))</f>
        <v>0</v>
      </c>
      <c r="O24" s="34" t="e">
        <f>IF(H24="undetermined","ND",IF(H24&gt;Standards_Data!M$22,"fail","pass"))</f>
        <v>#DIV/0!</v>
      </c>
      <c r="P24" s="54"/>
      <c r="Q24" s="54"/>
      <c r="R24" s="54"/>
      <c r="S24" s="57" t="e">
        <f>IF(AND(P22&gt;(Sketa22_Data!O$4+3*Sketa22_Data!O$5), P22&lt;= (Sketa22_Data!O$4+3.3)),P22-(Sketa22_Data!O$4+3*Sketa22_Data!O$5)," ")</f>
        <v>#DIV/0!</v>
      </c>
      <c r="T24" s="54" t="e">
        <f>IF(AND(P22&gt;(Sketa22_Data!O$4+3*Sketa22_Data!O$5), P22&lt;= (Sketa22_Data!O$4+3.3)),"pass"," ")</f>
        <v>#DIV/0!</v>
      </c>
      <c r="U24" s="54" t="e">
        <f>IF(AND(Sketa22_Data!O$5 &lt;0.62,OR(Q22="pass",T22="pass")),"pass"," ")</f>
        <v>#DIV/0!</v>
      </c>
      <c r="V24" s="54" t="e">
        <f>IF(AND(L24=1,M24="pass",O24="pass",U24="pass",Standards_Data!M$20="pass",Standards_Data!M$21="pass",Standards_Data!M$6="pass",Standards_Data!H$30="pass",Sketa22_Data!G$18="pass"),"pass","fail")</f>
        <v>#DIV/0!</v>
      </c>
      <c r="W24" s="122" t="e">
        <f t="shared" si="0"/>
        <v>#DIV/0!</v>
      </c>
      <c r="X24" s="122"/>
      <c r="Y24" s="122"/>
      <c r="Z24" s="122"/>
      <c r="AA24" s="34"/>
      <c r="AC24" s="62" t="s">
        <v>6</v>
      </c>
      <c r="AD24" s="36" t="e">
        <f>AD23-(AD25)</f>
        <v>#DIV/0!</v>
      </c>
      <c r="AE24" s="41">
        <f>AE23 - AE25</f>
        <v>2</v>
      </c>
      <c r="AF24" s="36" t="e">
        <f>AD24/AE24</f>
        <v>#DIV/0!</v>
      </c>
      <c r="AG24" s="36" t="e">
        <f>(AF24-AF25)/(((COUNT(  W22:W24)+COUNT(  W25:W27)+COUNT(  W28:W30))-(COUNT(  W22:W24)^2+COUNT(  W25:W27)^2+COUNT(  W28:W30)^2)/(COUNT(  W22:W24)+COUNT(  W25:W27)+COUNT(  W28:W30)))/((IF(COUNTBLANK(  W22:W24)=3,0,1))+(IF(COUNTBLANK(  W25:W27)=3,0,1))+(IF(COUNTBLANK(  W28:W30)=3,0,1))-1))</f>
        <v>#DIV/0!</v>
      </c>
      <c r="AJ24" s="61"/>
      <c r="AM24" s="31" t="s">
        <v>96</v>
      </c>
      <c r="AN24" s="32" t="s">
        <v>168</v>
      </c>
    </row>
    <row r="25" spans="1:40" x14ac:dyDescent="0.25">
      <c r="A25" s="34">
        <v>1</v>
      </c>
      <c r="B25" s="34">
        <v>1</v>
      </c>
      <c r="C25" s="2"/>
      <c r="D25" s="96">
        <v>3</v>
      </c>
      <c r="E25" s="5"/>
      <c r="F25" s="98">
        <v>2</v>
      </c>
      <c r="G25" s="99">
        <v>8</v>
      </c>
      <c r="H25" s="158"/>
      <c r="I25" s="159"/>
      <c r="J25" s="160"/>
      <c r="K25" s="172" t="e">
        <f>IF(I25&lt;Standards_Data!M$18,"pass",IF(OR(H25&gt;Standards_Data!M$17,H25="undetermined"),"inhb","comp"))</f>
        <v>#DIV/0!</v>
      </c>
      <c r="L25" s="55" t="e">
        <f t="shared" si="1"/>
        <v>#DIV/0!</v>
      </c>
      <c r="M25" s="54" t="e">
        <f>IF(OR(COUNT(L25:L27)=0,Standards_Data!M$5&gt;Standards_Data!M$23)," ",IF(SUM(L25:L27) &gt;=2,"pass","fail"))</f>
        <v>#DIV/0!</v>
      </c>
      <c r="N25" s="56">
        <f>IF(H25="undetermined",0,IF(H25&gt;=Standards_Data!M$25,0,1))</f>
        <v>0</v>
      </c>
      <c r="O25" s="34" t="e">
        <f>IF(H25="undetermined","ND",IF(H25&gt;Standards_Data!M$22,"fail","pass"))</f>
        <v>#DIV/0!</v>
      </c>
      <c r="P25" s="57" t="str">
        <f>IF(COUNT(J25:J27)=0," ",AVERAGE(J25:J27))</f>
        <v xml:space="preserve"> </v>
      </c>
      <c r="Q25" s="54" t="str">
        <f>IF(P25=" "," ",IF(P25&gt; (Sketa22_Data!O$4+3*Sketa22_Data!O$5),"fail","pass"))</f>
        <v xml:space="preserve"> </v>
      </c>
      <c r="R25" s="54" t="str">
        <f>IF(P25=" "," ",IF(P25&gt; (Sketa22_Data!O$4+3.3),"fail","pass"))</f>
        <v xml:space="preserve"> </v>
      </c>
      <c r="S25" s="57" t="e">
        <f>IF(AND(P25&gt;(Sketa22_Data!O$4+3*Sketa22_Data!O$5), P25&lt;= (Sketa22_Data!O$4+3.3)),P25-(Sketa22_Data!O$4+3*Sketa22_Data!O$5)," ")</f>
        <v>#DIV/0!</v>
      </c>
      <c r="T25" s="54" t="e">
        <f>IF(AND(P25&gt;(Sketa22_Data!O$4+3*Sketa22_Data!O$5), P25&lt;= (Sketa22_Data!O$4+3.3)),"pass"," ")</f>
        <v>#DIV/0!</v>
      </c>
      <c r="U25" s="54" t="e">
        <f>IF(AND(Sketa22_Data!O$5 &lt;0.62,OR(Q25="pass",T25="pass")),"pass"," ")</f>
        <v>#DIV/0!</v>
      </c>
      <c r="V25" s="54" t="e">
        <f>IF(AND(L25=1,M25="pass",O25="pass",U25="pass",Standards_Data!M$20="pass",Standards_Data!M$21="pass",Standards_Data!M$6="pass",Standards_Data!H$30="pass",Sketa22_Data!G$18="pass"),"pass","fail")</f>
        <v>#DIV/0!</v>
      </c>
      <c r="W25" s="122" t="e">
        <f t="shared" si="0"/>
        <v>#DIV/0!</v>
      </c>
      <c r="X25" s="122"/>
      <c r="Y25" s="122"/>
      <c r="Z25" s="122"/>
      <c r="AA25" s="34"/>
      <c r="AC25" s="62" t="s">
        <v>5</v>
      </c>
      <c r="AD25" s="36" t="e">
        <f>IF(COUNTBLANK(  W22:W24)=3,0,DEVSQ(  W22:W24))+IF(COUNTBLANK(  W25:W27)=3,0,DEVSQ(  W25:W27))+IF(COUNTBLANK(  W28:W30)=3,0,DEVSQ(  W28:W30))</f>
        <v>#DIV/0!</v>
      </c>
      <c r="AE25" s="36">
        <f>IF(COUNTBLANK(  W22:W24)=3,0,COUNT(  W22:W24)-1)+IF(COUNTBLANK(  W25:W27)=3,0,COUNT(  W25:W27)-1)+IF(COUNTBLANK(  W28:W30)=3,0,COUNT(  W28:W30)-1)</f>
        <v>-3</v>
      </c>
      <c r="AF25" s="36" t="e">
        <f>AD25/AE25</f>
        <v>#DIV/0!</v>
      </c>
      <c r="AG25" s="36" t="e">
        <f>AF25</f>
        <v>#DIV/0!</v>
      </c>
      <c r="AJ25" s="61"/>
      <c r="AM25" s="31" t="s">
        <v>13</v>
      </c>
      <c r="AN25" s="32" t="s">
        <v>169</v>
      </c>
    </row>
    <row r="26" spans="1:40" x14ac:dyDescent="0.25">
      <c r="A26" s="34">
        <v>1</v>
      </c>
      <c r="B26" s="34">
        <v>1</v>
      </c>
      <c r="C26" s="2"/>
      <c r="D26" s="96">
        <v>3</v>
      </c>
      <c r="E26" s="5"/>
      <c r="F26" s="98">
        <v>2</v>
      </c>
      <c r="G26" s="99">
        <v>8</v>
      </c>
      <c r="H26" s="158"/>
      <c r="I26" s="159"/>
      <c r="J26" s="160"/>
      <c r="K26" s="172" t="e">
        <f>IF(I26&lt;Standards_Data!M$18,"pass",IF(OR(H26&gt;Standards_Data!M$17,H26="undetermined"),"inhb","comp"))</f>
        <v>#DIV/0!</v>
      </c>
      <c r="L26" s="55" t="e">
        <f t="shared" si="1"/>
        <v>#DIV/0!</v>
      </c>
      <c r="M26" s="54" t="e">
        <f>IF(OR(COUNT(L25:L27)=0,Standards_Data!M$5&gt;Standards_Data!M$23)," ",IF(SUM(L25:L27) &gt;=2,"pass","fail"))</f>
        <v>#DIV/0!</v>
      </c>
      <c r="N26" s="56">
        <f>IF(H26="undetermined",0,IF(H26&gt;=Standards_Data!M$25,0,1))</f>
        <v>0</v>
      </c>
      <c r="O26" s="34" t="e">
        <f>IF(H26="undetermined","ND",IF(H26&gt;Standards_Data!M$22,"fail","pass"))</f>
        <v>#DIV/0!</v>
      </c>
      <c r="P26" s="54"/>
      <c r="Q26" s="54"/>
      <c r="R26" s="54"/>
      <c r="S26" s="57" t="e">
        <f>IF(AND(P25&gt;(Sketa22_Data!O$4+3*Sketa22_Data!O$5), P25&lt;= (Sketa22_Data!O$4+3.3)),P25-(Sketa22_Data!O$4+3*Sketa22_Data!O$5)," ")</f>
        <v>#DIV/0!</v>
      </c>
      <c r="T26" s="54" t="e">
        <f>IF(AND(P25&gt;(Sketa22_Data!O$4+3*Sketa22_Data!O$5), P25&lt;= (Sketa22_Data!O$4+3.3)),"pass"," ")</f>
        <v>#DIV/0!</v>
      </c>
      <c r="U26" s="54" t="e">
        <f>IF(AND(Sketa22_Data!O$5 &lt;0.62,OR(Q25="pass",T25="pass")),"pass"," ")</f>
        <v>#DIV/0!</v>
      </c>
      <c r="V26" s="54" t="e">
        <f>IF(AND(L26=1,M26="pass",O26="pass",U26="pass",Standards_Data!M$20="pass",Standards_Data!M$21="pass",Standards_Data!M$6="pass",Standards_Data!H$30="pass",Sketa22_Data!G$18="pass"),"pass","fail")</f>
        <v>#DIV/0!</v>
      </c>
      <c r="W26" s="122" t="e">
        <f t="shared" si="0"/>
        <v>#DIV/0!</v>
      </c>
      <c r="X26" s="122"/>
      <c r="Y26" s="122"/>
      <c r="Z26" s="122"/>
      <c r="AA26" s="34"/>
      <c r="AJ26" s="61"/>
    </row>
    <row r="27" spans="1:40" x14ac:dyDescent="0.25">
      <c r="A27" s="34">
        <v>1</v>
      </c>
      <c r="B27" s="34">
        <v>1</v>
      </c>
      <c r="C27" s="2"/>
      <c r="D27" s="96">
        <v>3</v>
      </c>
      <c r="E27" s="5"/>
      <c r="F27" s="98">
        <v>2</v>
      </c>
      <c r="G27" s="99">
        <v>8</v>
      </c>
      <c r="H27" s="158"/>
      <c r="I27" s="159"/>
      <c r="J27" s="160"/>
      <c r="K27" s="172" t="e">
        <f>IF(I27&lt;Standards_Data!M$18,"pass",IF(OR(H27&gt;Standards_Data!M$17,H27="undetermined"),"inhb","comp"))</f>
        <v>#DIV/0!</v>
      </c>
      <c r="L27" s="55" t="e">
        <f t="shared" si="1"/>
        <v>#DIV/0!</v>
      </c>
      <c r="M27" s="54" t="e">
        <f>IF(OR(COUNT(L25:L27)=0,Standards_Data!M$5&gt;Standards_Data!M$23)," ",IF(SUM(L25:L27) &gt;=2,"pass","fail"))</f>
        <v>#DIV/0!</v>
      </c>
      <c r="N27" s="56">
        <f>IF(H27="undetermined",0,IF(H27&gt;=Standards_Data!M$25,0,1))</f>
        <v>0</v>
      </c>
      <c r="O27" s="34" t="e">
        <f>IF(H27="undetermined","ND",IF(H27&gt;Standards_Data!M$22,"fail","pass"))</f>
        <v>#DIV/0!</v>
      </c>
      <c r="P27" s="54"/>
      <c r="Q27" s="54"/>
      <c r="R27" s="54"/>
      <c r="S27" s="57" t="e">
        <f>IF(AND(P25&gt;(Sketa22_Data!O$4+3*Sketa22_Data!O$5), P25&lt;= (Sketa22_Data!O$4+3.3)),P25-(Sketa22_Data!O$4+3*Sketa22_Data!O$5)," ")</f>
        <v>#DIV/0!</v>
      </c>
      <c r="T27" s="54" t="e">
        <f>IF(AND(P25&gt;(Sketa22_Data!O$4+3*Sketa22_Data!O$5), P25&lt;= (Sketa22_Data!O$4+3.3)),"pass"," ")</f>
        <v>#DIV/0!</v>
      </c>
      <c r="U27" s="54" t="e">
        <f>IF(AND(Sketa22_Data!O$5 &lt;0.62,OR(Q25="pass",T25="pass")),"pass"," ")</f>
        <v>#DIV/0!</v>
      </c>
      <c r="V27" s="54" t="e">
        <f>IF(AND(L27=1,M27="pass",O27="pass",U27="pass",Standards_Data!M$20="pass",Standards_Data!M$21="pass",Standards_Data!M$6="pass",Standards_Data!H$30="pass",Sketa22_Data!G$18="pass"),"pass","fail")</f>
        <v>#DIV/0!</v>
      </c>
      <c r="W27" s="122" t="e">
        <f t="shared" si="0"/>
        <v>#DIV/0!</v>
      </c>
      <c r="X27" s="122"/>
      <c r="Y27" s="122"/>
      <c r="Z27" s="122"/>
      <c r="AA27" s="34"/>
      <c r="AJ27" s="61"/>
    </row>
    <row r="28" spans="1:40" x14ac:dyDescent="0.25">
      <c r="A28" s="34">
        <v>1</v>
      </c>
      <c r="B28" s="34">
        <v>1</v>
      </c>
      <c r="C28" s="2"/>
      <c r="D28" s="96">
        <v>3</v>
      </c>
      <c r="E28" s="5"/>
      <c r="F28" s="98">
        <v>3</v>
      </c>
      <c r="G28" s="99">
        <v>9</v>
      </c>
      <c r="H28" s="158"/>
      <c r="I28" s="159"/>
      <c r="J28" s="160"/>
      <c r="K28" s="172" t="e">
        <f>IF(I28&lt;Standards_Data!M$18,"pass",IF(OR(H28&gt;Standards_Data!M$17,H28="undetermined"),"inhb","comp"))</f>
        <v>#DIV/0!</v>
      </c>
      <c r="L28" s="55" t="e">
        <f t="shared" si="1"/>
        <v>#DIV/0!</v>
      </c>
      <c r="M28" s="54" t="e">
        <f>IF(OR(COUNT(L28:L30)=0,Standards_Data!M$5&gt;Standards_Data!M$23)," ",IF(SUM(L28:L30) &gt;=2,"pass","fail"))</f>
        <v>#DIV/0!</v>
      </c>
      <c r="N28" s="56">
        <f>IF(H28="undetermined",0,IF(H28&gt;=Standards_Data!M$25,0,1))</f>
        <v>0</v>
      </c>
      <c r="O28" s="34" t="e">
        <f>IF(H28="undetermined","ND",IF(H28&gt;Standards_Data!M$22,"fail","pass"))</f>
        <v>#DIV/0!</v>
      </c>
      <c r="P28" s="57" t="str">
        <f>IF(COUNT(J28:J30)=0," ",AVERAGE(J28:J30))</f>
        <v xml:space="preserve"> </v>
      </c>
      <c r="Q28" s="54" t="str">
        <f>IF(P28=" "," ",IF(P28&gt; (Sketa22_Data!O$4+3*Sketa22_Data!O$5),"fail","pass"))</f>
        <v xml:space="preserve"> </v>
      </c>
      <c r="R28" s="54" t="str">
        <f>IF(P28=" "," ",IF(P28&gt; (Sketa22_Data!O$4+3.3),"fail","pass"))</f>
        <v xml:space="preserve"> </v>
      </c>
      <c r="S28" s="57" t="e">
        <f>IF(AND(P28&gt;(Sketa22_Data!O$4+3*Sketa22_Data!O$5), P28&lt;= (Sketa22_Data!O$4+3.3)),P28-(Sketa22_Data!O$4+3*Sketa22_Data!O$5)," ")</f>
        <v>#DIV/0!</v>
      </c>
      <c r="T28" s="54" t="e">
        <f>IF(AND(P28&gt;(Sketa22_Data!O$4+3*Sketa22_Data!O$5), P28&lt;= (Sketa22_Data!O$4+3.3)),"pass"," ")</f>
        <v>#DIV/0!</v>
      </c>
      <c r="U28" s="54" t="e">
        <f>IF(AND(Sketa22_Data!O$5 &lt;0.62,OR(Q28="pass",T28="pass")),"pass"," ")</f>
        <v>#DIV/0!</v>
      </c>
      <c r="V28" s="54" t="e">
        <f>IF(AND(L28=1,M28="pass",O28="pass",U28="pass",Standards_Data!M$20="pass",Standards_Data!M$21="pass",Standards_Data!M$6="pass",Standards_Data!H$30="pass",Sketa22_Data!G$18="pass"),"pass","fail")</f>
        <v>#DIV/0!</v>
      </c>
      <c r="W28" s="122" t="e">
        <f t="shared" si="0"/>
        <v>#DIV/0!</v>
      </c>
      <c r="X28" s="122"/>
      <c r="Y28" s="122"/>
      <c r="Z28" s="122"/>
      <c r="AA28" s="34"/>
      <c r="AD28" s="64"/>
      <c r="AJ28" s="61"/>
      <c r="AM28" s="31"/>
      <c r="AN28" s="32"/>
    </row>
    <row r="29" spans="1:40" x14ac:dyDescent="0.25">
      <c r="A29" s="34">
        <v>1</v>
      </c>
      <c r="B29" s="34">
        <v>1</v>
      </c>
      <c r="C29" s="2"/>
      <c r="D29" s="96">
        <v>3</v>
      </c>
      <c r="E29" s="5"/>
      <c r="F29" s="98">
        <v>3</v>
      </c>
      <c r="G29" s="99">
        <v>9</v>
      </c>
      <c r="H29" s="158"/>
      <c r="I29" s="159"/>
      <c r="J29" s="160"/>
      <c r="K29" s="172" t="e">
        <f>IF(I29&lt;Standards_Data!M$18,"pass",IF(OR(H29&gt;Standards_Data!M$17,H29="undetermined"),"inhb","comp"))</f>
        <v>#DIV/0!</v>
      </c>
      <c r="L29" s="55" t="e">
        <f t="shared" si="1"/>
        <v>#DIV/0!</v>
      </c>
      <c r="M29" s="54" t="e">
        <f>IF(OR(COUNT(L28:L30)=0,Standards_Data!M$5&gt;Standards_Data!M$23)," ",IF(SUM(L28:L30) &gt;=2,"pass","fail"))</f>
        <v>#DIV/0!</v>
      </c>
      <c r="N29" s="56">
        <f>IF(H29="undetermined",0,IF(H29&gt;=Standards_Data!M$25,0,1))</f>
        <v>0</v>
      </c>
      <c r="O29" s="34" t="e">
        <f>IF(H29="undetermined","ND",IF(H29&gt;Standards_Data!M$22,"fail","pass"))</f>
        <v>#DIV/0!</v>
      </c>
      <c r="P29" s="54"/>
      <c r="Q29" s="54"/>
      <c r="R29" s="54"/>
      <c r="S29" s="57" t="e">
        <f>IF(AND(P28&gt;(Sketa22_Data!O$4+3*Sketa22_Data!O$5), P28&lt;= (Sketa22_Data!O$4+3.3)),P28-(Sketa22_Data!O$4+3*Sketa22_Data!O$5)," ")</f>
        <v>#DIV/0!</v>
      </c>
      <c r="T29" s="54" t="e">
        <f>IF(AND(P28&gt;(Sketa22_Data!O$4+3*Sketa22_Data!O$5), P28&lt;= (Sketa22_Data!O$4+3.3)),"pass"," ")</f>
        <v>#DIV/0!</v>
      </c>
      <c r="U29" s="54" t="e">
        <f>IF(AND(Sketa22_Data!O$5 &lt;0.62,OR(Q28="pass",T28="pass")),"pass"," ")</f>
        <v>#DIV/0!</v>
      </c>
      <c r="V29" s="54" t="e">
        <f>IF(AND(L29=1,M29="pass",O29="pass",U29="pass",Standards_Data!M$20="pass",Standards_Data!M$21="pass",Standards_Data!M$6="pass",Standards_Data!H$30="pass",Sketa22_Data!G$18="pass"),"pass","fail")</f>
        <v>#DIV/0!</v>
      </c>
      <c r="W29" s="122" t="e">
        <f t="shared" si="0"/>
        <v>#DIV/0!</v>
      </c>
      <c r="X29" s="122"/>
      <c r="Y29" s="122"/>
      <c r="Z29" s="122"/>
      <c r="AA29" s="34"/>
      <c r="AJ29" s="61"/>
      <c r="AM29" s="31"/>
      <c r="AN29" s="32"/>
    </row>
    <row r="30" spans="1:40" ht="15.75" thickBot="1" x14ac:dyDescent="0.3">
      <c r="A30" s="109">
        <v>1</v>
      </c>
      <c r="B30" s="109">
        <v>1</v>
      </c>
      <c r="C30" s="156"/>
      <c r="D30" s="105">
        <v>3</v>
      </c>
      <c r="E30" s="106"/>
      <c r="F30" s="107">
        <v>3</v>
      </c>
      <c r="G30" s="108">
        <v>9</v>
      </c>
      <c r="H30" s="161"/>
      <c r="I30" s="162"/>
      <c r="J30" s="163"/>
      <c r="K30" s="109" t="e">
        <f>IF(I30&lt;Standards_Data!M$18,"pass",IF(OR(H30&gt;Standards_Data!M$17,H30="undetermined"),"inhb","comp"))</f>
        <v>#DIV/0!</v>
      </c>
      <c r="L30" s="110" t="e">
        <f t="shared" si="1"/>
        <v>#DIV/0!</v>
      </c>
      <c r="M30" s="109" t="e">
        <f>IF(OR(COUNT(L28:L30)=0,Standards_Data!M$5&gt;Standards_Data!M$23)," ",IF(SUM(L28:L30) &gt;=2,"pass","fail"))</f>
        <v>#DIV/0!</v>
      </c>
      <c r="N30" s="182">
        <f>IF(H30="undetermined",0,IF(H30&gt;=Standards_Data!M$25,0,1))</f>
        <v>0</v>
      </c>
      <c r="O30" s="109" t="e">
        <f>IF(H30="undetermined","ND",IF(H30&gt;Standards_Data!M$22,"fail","pass"))</f>
        <v>#DIV/0!</v>
      </c>
      <c r="P30" s="109"/>
      <c r="Q30" s="109"/>
      <c r="R30" s="109"/>
      <c r="S30" s="111" t="e">
        <f>IF(AND(P28&gt;(Sketa22_Data!O$4+3*Sketa22_Data!O$5), P28&lt;= (Sketa22_Data!O$4+3.3)),P28-(Sketa22_Data!O$4+3*Sketa22_Data!O$5)," ")</f>
        <v>#DIV/0!</v>
      </c>
      <c r="T30" s="109" t="e">
        <f>IF(AND(P28&gt;(Sketa22_Data!O$4+3*Sketa22_Data!O$5), P28&lt;= (Sketa22_Data!O$4+3.3)),"pass"," ")</f>
        <v>#DIV/0!</v>
      </c>
      <c r="U30" s="109" t="e">
        <f>IF(AND(Sketa22_Data!O$5 &lt;0.62,OR(Q28="pass",T28="pass")),"pass"," ")</f>
        <v>#DIV/0!</v>
      </c>
      <c r="V30" s="109" t="e">
        <f>IF(AND(L30=1,M30="pass",O30="pass",U30="pass",Standards_Data!M$20="pass",Standards_Data!M$21="pass",Standards_Data!M$6="pass",Standards_Data!H$30="pass",Sketa22_Data!G$18="pass"),"pass","fail")</f>
        <v>#DIV/0!</v>
      </c>
      <c r="W30" s="123" t="e">
        <f t="shared" si="0"/>
        <v>#DIV/0!</v>
      </c>
      <c r="X30" s="123"/>
      <c r="Y30" s="123"/>
      <c r="Z30" s="123"/>
      <c r="AA30" s="109"/>
      <c r="AB30" s="112"/>
      <c r="AC30" s="113"/>
      <c r="AD30" s="114"/>
      <c r="AE30" s="114"/>
      <c r="AF30" s="114"/>
      <c r="AG30" s="114"/>
      <c r="AH30" s="115"/>
      <c r="AI30" s="116"/>
      <c r="AJ30" s="117"/>
      <c r="AM30" s="31"/>
      <c r="AN30" s="32"/>
    </row>
    <row r="31" spans="1:40" x14ac:dyDescent="0.25">
      <c r="A31" s="34">
        <v>1</v>
      </c>
      <c r="B31" s="34">
        <v>1</v>
      </c>
      <c r="C31" s="2"/>
      <c r="D31" s="101">
        <v>4</v>
      </c>
      <c r="E31" s="102"/>
      <c r="F31" s="103">
        <v>1</v>
      </c>
      <c r="G31" s="99">
        <v>10</v>
      </c>
      <c r="H31" s="173"/>
      <c r="I31" s="174"/>
      <c r="J31" s="175"/>
      <c r="K31" s="172" t="e">
        <f>IF(I31&lt;Standards_Data!M$18,"pass",IF(OR(H31&gt;Standards_Data!M$17,H31="undetermined"),"inhb","comp"))</f>
        <v>#DIV/0!</v>
      </c>
      <c r="L31" s="55" t="e">
        <f t="shared" si="1"/>
        <v>#DIV/0!</v>
      </c>
      <c r="M31" s="54" t="e">
        <f>IF(OR(COUNT(L31:L33)=0,Standards_Data!M$5&gt;Standards_Data!M$23)," ",IF(SUM(L31:L33) &gt;=2,"pass","fail"))</f>
        <v>#DIV/0!</v>
      </c>
      <c r="N31" s="56">
        <f>IF(H31="undetermined",0,IF(H31&gt;=Standards_Data!M$25,0,1))</f>
        <v>0</v>
      </c>
      <c r="O31" s="34" t="e">
        <f>IF(H31="undetermined","ND",IF(H31&gt;Standards_Data!M$22,"fail","pass"))</f>
        <v>#DIV/0!</v>
      </c>
      <c r="P31" s="57" t="str">
        <f>IF(COUNT(J31:J33)=0," ",AVERAGE(J31:J33))</f>
        <v xml:space="preserve"> </v>
      </c>
      <c r="Q31" s="54" t="str">
        <f>IF(P31=" "," ",IF(P31&gt; (Sketa22_Data!O$4+3*Sketa22_Data!O$5),"fail","pass"))</f>
        <v xml:space="preserve"> </v>
      </c>
      <c r="R31" s="54" t="str">
        <f>IF(P31=" "," ",IF(P31&gt; (Sketa22_Data!O$4+3.3),"fail","pass"))</f>
        <v xml:space="preserve"> </v>
      </c>
      <c r="S31" s="57" t="e">
        <f>IF(AND(P31&gt;(Sketa22_Data!O$4+3*Sketa22_Data!O$5), P31&lt;= (Sketa22_Data!O$4+3.3)),P31-(Sketa22_Data!O$4+3*Sketa22_Data!O$5)," ")</f>
        <v>#DIV/0!</v>
      </c>
      <c r="T31" s="54" t="e">
        <f>IF(AND(P31&gt;(Sketa22_Data!O$4+3*Sketa22_Data!O$5), P31&lt;= (Sketa22_Data!O$4+3.3)),"pass"," ")</f>
        <v>#DIV/0!</v>
      </c>
      <c r="U31" s="54" t="e">
        <f>IF(AND(Sketa22_Data!O$5 &lt;0.62,OR(Q31="pass",T31="pass")),"pass"," ")</f>
        <v>#DIV/0!</v>
      </c>
      <c r="V31" s="54" t="e">
        <f>IF(AND(L31=1,M31="pass",O31="pass",U31="pass",Standards_Data!M$20="pass",Standards_Data!M$21="pass",Standards_Data!M$6="pass",Standards_Data!H$30="pass",Sketa22_Data!G$18="pass"),"pass","fail")</f>
        <v>#DIV/0!</v>
      </c>
      <c r="W31" s="122" t="e">
        <f t="shared" si="0"/>
        <v>#DIV/0!</v>
      </c>
      <c r="X31" s="124" t="str">
        <f>IF(COUNT(W31:W39)=0,  " ",AVERAGE(W31:W39))</f>
        <v xml:space="preserve"> </v>
      </c>
      <c r="Y31" s="124" t="str">
        <f>IF( X31=" ", " ",(X31-Standards_Data!M$11)/Standards_Data!M$7)</f>
        <v xml:space="preserve"> </v>
      </c>
      <c r="Z31" s="124" t="str">
        <f>IF(Y31=" "," ",SQRT((1/Standards_Data!$M$7^2)*(Standards_Data!$M$12^2+AJ32^2+ (-2*(X31-Standards_Data!$M$11)*SUMSQ(Standards_Data!$AG$10:$AG$24)*AVERAGE(Standards_Data!$AE$10:$AE$24)/(DEVSQ(Standards_Data!$AE$10:$AE$24)*(COUNT(Standards_Data!$AG$10:$AG$24)-2)*Standards_Data!$M$7))+ ((X31-Standards_Data!$M$11)^2*Standards_Data!$M$8^2/(Standards_Data!$M$7^2)))))</f>
        <v xml:space="preserve"> </v>
      </c>
      <c r="AA31" s="104">
        <f>COUNT(W31:W39)</f>
        <v>0</v>
      </c>
      <c r="AD31" s="59" t="s">
        <v>0</v>
      </c>
      <c r="AE31" s="59" t="s">
        <v>1</v>
      </c>
      <c r="AF31" s="59" t="s">
        <v>2</v>
      </c>
      <c r="AG31" s="59" t="s">
        <v>3</v>
      </c>
      <c r="AI31" s="60" t="s">
        <v>95</v>
      </c>
      <c r="AJ31" s="61" t="e">
        <f>AVERAGE(W31:W39)</f>
        <v>#DIV/0!</v>
      </c>
      <c r="AM31" s="31"/>
      <c r="AN31" s="32"/>
    </row>
    <row r="32" spans="1:40" x14ac:dyDescent="0.25">
      <c r="A32" s="34">
        <v>1</v>
      </c>
      <c r="B32" s="34">
        <v>1</v>
      </c>
      <c r="C32" s="2"/>
      <c r="D32" s="96">
        <v>4</v>
      </c>
      <c r="E32" s="5"/>
      <c r="F32" s="98">
        <v>1</v>
      </c>
      <c r="G32" s="99">
        <v>10</v>
      </c>
      <c r="H32" s="158"/>
      <c r="I32" s="159"/>
      <c r="J32" s="176"/>
      <c r="K32" s="172" t="e">
        <f>IF(I32&lt;Standards_Data!M$18,"pass",IF(OR(H32&gt;Standards_Data!M$17,H32="undetermined"),"inhb","comp"))</f>
        <v>#DIV/0!</v>
      </c>
      <c r="L32" s="55" t="e">
        <f t="shared" si="1"/>
        <v>#DIV/0!</v>
      </c>
      <c r="M32" s="54" t="e">
        <f>IF(OR(COUNT(L31:L33)=0,Standards_Data!M$5&gt;Standards_Data!M$23)," ",IF(SUM(L31:L33) &gt;=2,"pass","fail"))</f>
        <v>#DIV/0!</v>
      </c>
      <c r="N32" s="56">
        <f>IF(H32="undetermined",0,IF(H32&gt;=Standards_Data!M$25,0,1))</f>
        <v>0</v>
      </c>
      <c r="O32" s="34" t="e">
        <f>IF(H32="undetermined","ND",IF(H32&gt;Standards_Data!M$22,"fail","pass"))</f>
        <v>#DIV/0!</v>
      </c>
      <c r="P32" s="54"/>
      <c r="Q32" s="54"/>
      <c r="R32" s="54"/>
      <c r="S32" s="57" t="e">
        <f>IF(AND(P31&gt;(Sketa22_Data!O$4+3*Sketa22_Data!O$5), P31&lt;= (Sketa22_Data!O$4+3.3)),P31-(Sketa22_Data!O$4+3*Sketa22_Data!O$5)," ")</f>
        <v>#DIV/0!</v>
      </c>
      <c r="T32" s="54" t="e">
        <f>IF(AND(P31&gt;(Sketa22_Data!O$4+3*Sketa22_Data!O$5), P31&lt;= (Sketa22_Data!O$4+3.3)),"pass"," ")</f>
        <v>#DIV/0!</v>
      </c>
      <c r="U32" s="54" t="e">
        <f>IF(AND(Sketa22_Data!O$5 &lt;0.62,OR(Q31="pass",T31="pass")),"pass"," ")</f>
        <v>#DIV/0!</v>
      </c>
      <c r="V32" s="54" t="e">
        <f>IF(AND(L32=1,M32="pass",O32="pass",U32="pass",Standards_Data!M$20="pass",Standards_Data!M$21="pass",Standards_Data!M$6="pass",Standards_Data!H$30="pass",Sketa22_Data!G$18="pass"),"pass","fail")</f>
        <v>#DIV/0!</v>
      </c>
      <c r="W32" s="122" t="e">
        <f t="shared" si="0"/>
        <v>#DIV/0!</v>
      </c>
      <c r="X32" s="122"/>
      <c r="Y32" s="122"/>
      <c r="Z32" s="122"/>
      <c r="AA32" s="34"/>
      <c r="AC32" s="65" t="s">
        <v>4</v>
      </c>
      <c r="AD32" s="66" t="e">
        <f>IF(COUNTBLANK(W31:W39) =9,0,DEVSQ(W31:W39))</f>
        <v>#DIV/0!</v>
      </c>
      <c r="AE32" s="67">
        <f>COUNT(W31:W39)-1</f>
        <v>-1</v>
      </c>
      <c r="AF32" s="66" t="e">
        <f>AD32/AE32</f>
        <v>#DIV/0!</v>
      </c>
      <c r="AG32" s="68" t="e">
        <f>IF((AG34 &lt;0),0,AG34) +    IF( (AG33 &lt;0),0,AG33)</f>
        <v>#DIV/0!</v>
      </c>
      <c r="AI32" s="53" t="s">
        <v>23</v>
      </c>
      <c r="AJ32" s="61">
        <f>IF(COUNT(W31:W39) &lt;=3,0,   IF(AG33 &gt;0,SQRT((AG34/(AE32+1))+(AG33*(COUNT(W31:W33)^2+COUNT(W34:W36)^2+COUNT(W37:W39)^2)/(AE32+1)^2)), STDEV(W31:W39)/SQRT(COUNT(W31:W39)  ) ))</f>
        <v>0</v>
      </c>
      <c r="AM32" s="31"/>
      <c r="AN32" s="32"/>
    </row>
    <row r="33" spans="1:40" x14ac:dyDescent="0.25">
      <c r="A33" s="34">
        <v>1</v>
      </c>
      <c r="B33" s="34">
        <v>1</v>
      </c>
      <c r="C33" s="2"/>
      <c r="D33" s="96">
        <v>4</v>
      </c>
      <c r="E33" s="5"/>
      <c r="F33" s="98">
        <v>1</v>
      </c>
      <c r="G33" s="99">
        <v>10</v>
      </c>
      <c r="H33" s="158"/>
      <c r="I33" s="159"/>
      <c r="J33" s="176"/>
      <c r="K33" s="172" t="e">
        <f>IF(I33&lt;Standards_Data!M$18,"pass",IF(OR(H33&gt;Standards_Data!M$17,H33="undetermined"),"inhb","comp"))</f>
        <v>#DIV/0!</v>
      </c>
      <c r="L33" s="55" t="e">
        <f t="shared" si="1"/>
        <v>#DIV/0!</v>
      </c>
      <c r="M33" s="54" t="e">
        <f>IF(OR(COUNT(L31:L33)=0,Standards_Data!M$5&gt;Standards_Data!M$23)," ",IF(SUM(L31:L33) &gt;=2,"pass","fail"))</f>
        <v>#DIV/0!</v>
      </c>
      <c r="N33" s="56">
        <f>IF(H33="undetermined",0,IF(H33&gt;=Standards_Data!M$25,0,1))</f>
        <v>0</v>
      </c>
      <c r="O33" s="34" t="e">
        <f>IF(H33="undetermined","ND",IF(H33&gt;Standards_Data!M$22,"fail","pass"))</f>
        <v>#DIV/0!</v>
      </c>
      <c r="P33" s="54"/>
      <c r="Q33" s="54"/>
      <c r="R33" s="54"/>
      <c r="S33" s="57" t="e">
        <f>IF(AND(P31&gt;(Sketa22_Data!O$4+3*Sketa22_Data!O$5), P31&lt;= (Sketa22_Data!O$4+3.3)),P31-(Sketa22_Data!O$4+3*Sketa22_Data!O$5)," ")</f>
        <v>#DIV/0!</v>
      </c>
      <c r="T33" s="54" t="e">
        <f>IF(AND(P31&gt;(Sketa22_Data!O$4+3*Sketa22_Data!O$5), P31&lt;= (Sketa22_Data!O$4+3.3)),"pass"," ")</f>
        <v>#DIV/0!</v>
      </c>
      <c r="U33" s="54" t="e">
        <f>IF(AND(Sketa22_Data!O$5 &lt;0.62,OR(Q31="pass",T31="pass")),"pass"," ")</f>
        <v>#DIV/0!</v>
      </c>
      <c r="V33" s="54" t="e">
        <f>IF(AND(L33=1,M33="pass",O33="pass",U33="pass",Standards_Data!M$20="pass",Standards_Data!M$21="pass",Standards_Data!M$6="pass",Standards_Data!H$30="pass",Sketa22_Data!G$18="pass"),"pass","fail")</f>
        <v>#DIV/0!</v>
      </c>
      <c r="W33" s="122" t="e">
        <f t="shared" si="0"/>
        <v>#DIV/0!</v>
      </c>
      <c r="X33" s="122"/>
      <c r="Y33" s="122"/>
      <c r="Z33" s="122"/>
      <c r="AA33" s="34"/>
      <c r="AC33" s="65" t="s">
        <v>6</v>
      </c>
      <c r="AD33" s="66" t="e">
        <f>AD32-(AD34)</f>
        <v>#DIV/0!</v>
      </c>
      <c r="AE33" s="67">
        <f>AE32 - AE34</f>
        <v>2</v>
      </c>
      <c r="AF33" s="66" t="e">
        <f>AD33/AE33</f>
        <v>#DIV/0!</v>
      </c>
      <c r="AG33" s="66" t="e">
        <f>(AF33-AF34)/(((COUNT(  W31:W33)+COUNT(  W34:W36)+COUNT(  W37:W39))-(COUNT(  W31:W33)^2+COUNT(  W34:W36)^2+COUNT(  W37:W39)^2)/(COUNT(  W31:W33)+COUNT(  W34:W36)+COUNT(  W37:W39)))/((IF(COUNTBLANK(  W31:W33)=3,0,1))+(IF(COUNTBLANK(  W34:W36)=3,0,1))+(IF(COUNTBLANK(  W37:W39)=3,0,1))-1))</f>
        <v>#DIV/0!</v>
      </c>
      <c r="AJ33" s="61"/>
      <c r="AM33" s="141"/>
      <c r="AN33" s="32"/>
    </row>
    <row r="34" spans="1:40" x14ac:dyDescent="0.25">
      <c r="A34" s="34">
        <v>1</v>
      </c>
      <c r="B34" s="34">
        <v>1</v>
      </c>
      <c r="C34" s="2"/>
      <c r="D34" s="96">
        <v>4</v>
      </c>
      <c r="E34" s="5"/>
      <c r="F34" s="98">
        <v>2</v>
      </c>
      <c r="G34" s="99">
        <v>11</v>
      </c>
      <c r="H34" s="158"/>
      <c r="I34" s="159"/>
      <c r="J34" s="176"/>
      <c r="K34" s="172" t="e">
        <f>IF(I34&lt;Standards_Data!M$18,"pass",IF(OR(H34&gt;Standards_Data!M$17,H34="undetermined"),"inhb","comp"))</f>
        <v>#DIV/0!</v>
      </c>
      <c r="L34" s="55" t="e">
        <f t="shared" si="1"/>
        <v>#DIV/0!</v>
      </c>
      <c r="M34" s="54" t="e">
        <f>IF(OR(COUNT(L34:L36)=0,Standards_Data!M$5&gt;Standards_Data!M$23)," ",IF(SUM(L34:L36) &gt;=2,"pass","fail"))</f>
        <v>#DIV/0!</v>
      </c>
      <c r="N34" s="56">
        <f>IF(H34="undetermined",0,IF(H34&gt;=Standards_Data!M$25,0,1))</f>
        <v>0</v>
      </c>
      <c r="O34" s="34" t="e">
        <f>IF(H34="undetermined","ND",IF(H34&gt;Standards_Data!M$22,"fail","pass"))</f>
        <v>#DIV/0!</v>
      </c>
      <c r="P34" s="57" t="str">
        <f>IF(COUNT(J34:J36)=0," ",AVERAGE(J34:J36))</f>
        <v xml:space="preserve"> </v>
      </c>
      <c r="Q34" s="54" t="str">
        <f>IF(P34=" "," ",IF(P34&gt; (Sketa22_Data!O$4+3*Sketa22_Data!O$5),"fail","pass"))</f>
        <v xml:space="preserve"> </v>
      </c>
      <c r="R34" s="54" t="str">
        <f>IF(P34=" "," ",IF(P34&gt; (Sketa22_Data!O$4+3.3),"fail","pass"))</f>
        <v xml:space="preserve"> </v>
      </c>
      <c r="S34" s="57" t="e">
        <f>IF(AND(P34&gt;(Sketa22_Data!O$4+3*Sketa22_Data!O$5), P34&lt;= (Sketa22_Data!O$4+3.3)),P34-(Sketa22_Data!O$4+3*Sketa22_Data!O$5)," ")</f>
        <v>#DIV/0!</v>
      </c>
      <c r="T34" s="54" t="e">
        <f>IF(AND(P34&gt;(Sketa22_Data!O$4+3*Sketa22_Data!O$5), P34&lt;= (Sketa22_Data!O$4+3.3)),"pass"," ")</f>
        <v>#DIV/0!</v>
      </c>
      <c r="U34" s="54" t="e">
        <f>IF(AND(Sketa22_Data!O$5 &lt;0.62,OR(Q34="pass",T34="pass")),"pass"," ")</f>
        <v>#DIV/0!</v>
      </c>
      <c r="V34" s="54" t="e">
        <f>IF(AND(L34=1,M34="pass",O34="pass",U34="pass",Standards_Data!M$20="pass",Standards_Data!M$21="pass",Standards_Data!M$6="pass",Standards_Data!H$30="pass",Sketa22_Data!G$18="pass"),"pass","fail")</f>
        <v>#DIV/0!</v>
      </c>
      <c r="W34" s="122" t="e">
        <f t="shared" si="0"/>
        <v>#DIV/0!</v>
      </c>
      <c r="X34" s="122"/>
      <c r="Y34" s="122"/>
      <c r="Z34" s="122"/>
      <c r="AA34" s="34"/>
      <c r="AC34" s="65" t="s">
        <v>5</v>
      </c>
      <c r="AD34" s="66" t="e">
        <f>IF(COUNTBLANK(  W31:W33)=3,0,DEVSQ(  W31:W33))+IF(COUNTBLANK(  W34:W36)=3,0,DEVSQ(  W34:W36))+IF(COUNTBLANK(  W37:W39)=3,0,DEVSQ(  W37:W39))</f>
        <v>#DIV/0!</v>
      </c>
      <c r="AE34" s="69">
        <f>IF(COUNTBLANK(  W31:W33)=3,0,COUNT(  W31:W33)-1)+IF(COUNTBLANK(  W34:W36)=3,0,COUNT(  W34:W36)-1)+IF(COUNTBLANK(  W37:W39)=3,0,COUNT(  W37:W39)-1)</f>
        <v>-3</v>
      </c>
      <c r="AF34" s="66" t="e">
        <f>AD34/AE34</f>
        <v>#DIV/0!</v>
      </c>
      <c r="AG34" s="66" t="e">
        <f>AF34</f>
        <v>#DIV/0!</v>
      </c>
      <c r="AJ34" s="61"/>
      <c r="AM34" s="141"/>
      <c r="AN34" s="32"/>
    </row>
    <row r="35" spans="1:40" x14ac:dyDescent="0.25">
      <c r="A35" s="34">
        <v>1</v>
      </c>
      <c r="B35" s="34">
        <v>1</v>
      </c>
      <c r="C35" s="2"/>
      <c r="D35" s="96">
        <v>4</v>
      </c>
      <c r="E35" s="5"/>
      <c r="F35" s="98">
        <v>2</v>
      </c>
      <c r="G35" s="99">
        <v>11</v>
      </c>
      <c r="H35" s="158"/>
      <c r="I35" s="159"/>
      <c r="J35" s="176"/>
      <c r="K35" s="172" t="e">
        <f>IF(I35&lt;Standards_Data!M$18,"pass",IF(OR(H35&gt;Standards_Data!M$17,H35="undetermined"),"inhb","comp"))</f>
        <v>#DIV/0!</v>
      </c>
      <c r="L35" s="55" t="e">
        <f t="shared" si="1"/>
        <v>#DIV/0!</v>
      </c>
      <c r="M35" s="54" t="e">
        <f>IF(OR(COUNT(L34:L36)=0,Standards_Data!M$5&gt;Standards_Data!M$23)," ",IF(SUM(L34:L36) &gt;=2,"pass","fail"))</f>
        <v>#DIV/0!</v>
      </c>
      <c r="N35" s="56">
        <f>IF(H35="undetermined",0,IF(H35&gt;=Standards_Data!M$25,0,1))</f>
        <v>0</v>
      </c>
      <c r="O35" s="34" t="e">
        <f>IF(H35="undetermined","ND",IF(H35&gt;Standards_Data!M$22,"fail","pass"))</f>
        <v>#DIV/0!</v>
      </c>
      <c r="P35" s="54"/>
      <c r="Q35" s="54"/>
      <c r="R35" s="54"/>
      <c r="S35" s="57" t="e">
        <f>IF(AND(P34&gt;(Sketa22_Data!O$4+3*Sketa22_Data!O$5), P34&lt;= (Sketa22_Data!O$4+3.3)),P34-(Sketa22_Data!O$4+3*Sketa22_Data!O$5)," ")</f>
        <v>#DIV/0!</v>
      </c>
      <c r="T35" s="54" t="e">
        <f>IF(AND(P34&gt;(Sketa22_Data!O$4+3*Sketa22_Data!O$5), P34&lt;= (Sketa22_Data!O$4+3.3)),"pass"," ")</f>
        <v>#DIV/0!</v>
      </c>
      <c r="U35" s="54" t="e">
        <f>IF(AND(Sketa22_Data!O$5 &lt;0.62,OR(Q34="pass",T34="pass")),"pass"," ")</f>
        <v>#DIV/0!</v>
      </c>
      <c r="V35" s="54" t="e">
        <f>IF(AND(L35=1,M35="pass",O35="pass",U35="pass",Standards_Data!M$20="pass",Standards_Data!M$21="pass",Standards_Data!M$6="pass",Standards_Data!H$30="pass",Sketa22_Data!G$18="pass"),"pass","fail")</f>
        <v>#DIV/0!</v>
      </c>
      <c r="W35" s="122" t="e">
        <f t="shared" si="0"/>
        <v>#DIV/0!</v>
      </c>
      <c r="X35" s="122"/>
      <c r="Y35" s="122"/>
      <c r="Z35" s="122"/>
      <c r="AA35" s="34"/>
      <c r="AJ35" s="61"/>
      <c r="AM35" s="141"/>
      <c r="AN35" s="32"/>
    </row>
    <row r="36" spans="1:40" x14ac:dyDescent="0.25">
      <c r="A36" s="34">
        <v>1</v>
      </c>
      <c r="B36" s="34">
        <v>1</v>
      </c>
      <c r="C36" s="2"/>
      <c r="D36" s="96">
        <v>4</v>
      </c>
      <c r="E36" s="5"/>
      <c r="F36" s="98">
        <v>2</v>
      </c>
      <c r="G36" s="99">
        <v>11</v>
      </c>
      <c r="H36" s="158"/>
      <c r="I36" s="159"/>
      <c r="J36" s="176"/>
      <c r="K36" s="172" t="e">
        <f>IF(I36&lt;Standards_Data!M$18,"pass",IF(OR(H36&gt;Standards_Data!M$17,H36="undetermined"),"inhb","comp"))</f>
        <v>#DIV/0!</v>
      </c>
      <c r="L36" s="55" t="e">
        <f t="shared" si="1"/>
        <v>#DIV/0!</v>
      </c>
      <c r="M36" s="54" t="e">
        <f>IF(OR(COUNT(L34:L36)=0,Standards_Data!M$5&gt;Standards_Data!M$23)," ",IF(SUM(L34:L36) &gt;=2,"pass","fail"))</f>
        <v>#DIV/0!</v>
      </c>
      <c r="N36" s="56">
        <f>IF(H36="undetermined",0,IF(H36&gt;=Standards_Data!M$25,0,1))</f>
        <v>0</v>
      </c>
      <c r="O36" s="34" t="e">
        <f>IF(H36="undetermined","ND",IF(H36&gt;Standards_Data!M$22,"fail","pass"))</f>
        <v>#DIV/0!</v>
      </c>
      <c r="P36" s="54"/>
      <c r="Q36" s="54"/>
      <c r="R36" s="54"/>
      <c r="S36" s="57" t="e">
        <f>IF(AND(P34&gt;(Sketa22_Data!O$4+3*Sketa22_Data!O$5), P34&lt;= (Sketa22_Data!O$4+3.3)),P34-(Sketa22_Data!O$4+3*Sketa22_Data!O$5)," ")</f>
        <v>#DIV/0!</v>
      </c>
      <c r="T36" s="54" t="e">
        <f>IF(AND(P34&gt;(Sketa22_Data!O$4+3*Sketa22_Data!O$5), P34&lt;= (Sketa22_Data!O$4+3.3)),"pass"," ")</f>
        <v>#DIV/0!</v>
      </c>
      <c r="U36" s="54" t="e">
        <f>IF(AND(Sketa22_Data!O$5 &lt;0.62,OR(Q34="pass",T34="pass")),"pass"," ")</f>
        <v>#DIV/0!</v>
      </c>
      <c r="V36" s="54" t="e">
        <f>IF(AND(L36=1,M36="pass",O36="pass",U36="pass",Standards_Data!M$20="pass",Standards_Data!M$21="pass",Standards_Data!M$6="pass",Standards_Data!H$30="pass",Sketa22_Data!G$18="pass"),"pass","fail")</f>
        <v>#DIV/0!</v>
      </c>
      <c r="W36" s="122" t="e">
        <f t="shared" ref="W36:W60" si="2">IF(V36="fail","",IF(T36="pass",H36-S36,H36))</f>
        <v>#DIV/0!</v>
      </c>
      <c r="X36" s="122"/>
      <c r="Y36" s="122"/>
      <c r="Z36" s="122"/>
      <c r="AA36" s="34"/>
      <c r="AJ36" s="61"/>
      <c r="AM36" s="31"/>
      <c r="AN36" s="32"/>
    </row>
    <row r="37" spans="1:40" x14ac:dyDescent="0.25">
      <c r="A37" s="34">
        <v>1</v>
      </c>
      <c r="B37" s="34">
        <v>1</v>
      </c>
      <c r="C37" s="2"/>
      <c r="D37" s="96">
        <v>4</v>
      </c>
      <c r="E37" s="5"/>
      <c r="F37" s="98">
        <v>3</v>
      </c>
      <c r="G37" s="99">
        <v>12</v>
      </c>
      <c r="H37" s="158"/>
      <c r="I37" s="159"/>
      <c r="J37" s="176"/>
      <c r="K37" s="172" t="e">
        <f>IF(I37&lt;Standards_Data!M$18,"pass",IF(OR(H37&gt;Standards_Data!M$17,H37="undetermined"),"inhb","comp"))</f>
        <v>#DIV/0!</v>
      </c>
      <c r="L37" s="55" t="e">
        <f t="shared" si="1"/>
        <v>#DIV/0!</v>
      </c>
      <c r="M37" s="54" t="e">
        <f>IF(OR(COUNT(L37:L39)=0,Standards_Data!M$5&gt;Standards_Data!M$23)," ",IF(SUM(L37:L39) &gt;=2,"pass","fail"))</f>
        <v>#DIV/0!</v>
      </c>
      <c r="N37" s="56">
        <f>IF(H37="undetermined",0,IF(H37&gt;=Standards_Data!M$25,0,1))</f>
        <v>0</v>
      </c>
      <c r="O37" s="34" t="e">
        <f>IF(H37="undetermined","ND",IF(H37&gt;Standards_Data!M$22,"fail","pass"))</f>
        <v>#DIV/0!</v>
      </c>
      <c r="P37" s="57" t="str">
        <f>IF(COUNT(J37:J39)=0," ",AVERAGE(J37:J39))</f>
        <v xml:space="preserve"> </v>
      </c>
      <c r="Q37" s="54" t="str">
        <f>IF(P37=" "," ",IF(P37&gt; (Sketa22_Data!O$4+3*Sketa22_Data!O$5),"fail","pass"))</f>
        <v xml:space="preserve"> </v>
      </c>
      <c r="R37" s="54" t="str">
        <f>IF(P37=" "," ",IF(P37&gt; (Sketa22_Data!O$4+3.3),"fail","pass"))</f>
        <v xml:space="preserve"> </v>
      </c>
      <c r="S37" s="57" t="e">
        <f>IF(AND(P37&gt;(Sketa22_Data!O$4+3*Sketa22_Data!O$5), P37&lt;= (Sketa22_Data!O$4+3.3)),P37-(Sketa22_Data!O$4+3*Sketa22_Data!O$5)," ")</f>
        <v>#DIV/0!</v>
      </c>
      <c r="T37" s="54" t="e">
        <f>IF(AND(P37&gt;(Sketa22_Data!O$4+3*Sketa22_Data!O$5), P37&lt;= (Sketa22_Data!O$4+3.3)),"pass"," ")</f>
        <v>#DIV/0!</v>
      </c>
      <c r="U37" s="54" t="e">
        <f>IF(AND(Sketa22_Data!O$5 &lt;0.62,OR(Q37="pass",T37="pass")),"pass"," ")</f>
        <v>#DIV/0!</v>
      </c>
      <c r="V37" s="54" t="e">
        <f>IF(AND(L37=1,M37="pass",O37="pass",U37="pass",Standards_Data!M$20="pass",Standards_Data!M$21="pass",Standards_Data!M$6="pass",Standards_Data!H$30="pass",Sketa22_Data!G$18="pass"),"pass","fail")</f>
        <v>#DIV/0!</v>
      </c>
      <c r="W37" s="122" t="e">
        <f t="shared" si="2"/>
        <v>#DIV/0!</v>
      </c>
      <c r="X37" s="122"/>
      <c r="Y37" s="122"/>
      <c r="Z37" s="122"/>
      <c r="AA37" s="34"/>
      <c r="AD37" s="64"/>
      <c r="AJ37" s="61"/>
      <c r="AN37" s="32"/>
    </row>
    <row r="38" spans="1:40" x14ac:dyDescent="0.25">
      <c r="A38" s="34">
        <v>1</v>
      </c>
      <c r="B38" s="34">
        <v>1</v>
      </c>
      <c r="C38" s="2"/>
      <c r="D38" s="96">
        <v>4</v>
      </c>
      <c r="E38" s="5"/>
      <c r="F38" s="98">
        <v>3</v>
      </c>
      <c r="G38" s="99">
        <v>12</v>
      </c>
      <c r="H38" s="158"/>
      <c r="I38" s="159"/>
      <c r="J38" s="176"/>
      <c r="K38" s="172" t="e">
        <f>IF(I38&lt;Standards_Data!M$18,"pass",IF(OR(H38&gt;Standards_Data!M$17,H38="undetermined"),"inhb","comp"))</f>
        <v>#DIV/0!</v>
      </c>
      <c r="L38" s="55" t="e">
        <f t="shared" si="1"/>
        <v>#DIV/0!</v>
      </c>
      <c r="M38" s="54" t="e">
        <f>IF(OR(COUNT(L37:L39)=0,Standards_Data!M$5&gt;Standards_Data!M$23)," ",IF(SUM(L37:L39) &gt;=2,"pass","fail"))</f>
        <v>#DIV/0!</v>
      </c>
      <c r="N38" s="56">
        <f>IF(H38="undetermined",0,IF(H38&gt;=Standards_Data!M$25,0,1))</f>
        <v>0</v>
      </c>
      <c r="O38" s="34" t="e">
        <f>IF(H38="undetermined","ND",IF(H38&gt;Standards_Data!M$22,"fail","pass"))</f>
        <v>#DIV/0!</v>
      </c>
      <c r="P38" s="54"/>
      <c r="Q38" s="54"/>
      <c r="R38" s="54"/>
      <c r="S38" s="57" t="e">
        <f>IF(AND(P37&gt;(Sketa22_Data!O$4+3*Sketa22_Data!O$5), P37&lt;= (Sketa22_Data!O$4+3.3)),P37-(Sketa22_Data!O$4+3*Sketa22_Data!O$5)," ")</f>
        <v>#DIV/0!</v>
      </c>
      <c r="T38" s="54" t="e">
        <f>IF(AND(P37&gt;(Sketa22_Data!O$4+3*Sketa22_Data!O$5), P37&lt;= (Sketa22_Data!O$4+3.3)),"pass"," ")</f>
        <v>#DIV/0!</v>
      </c>
      <c r="U38" s="54" t="e">
        <f>IF(AND(Sketa22_Data!O$5 &lt;0.62,OR(Q37="pass",T37="pass")),"pass"," ")</f>
        <v>#DIV/0!</v>
      </c>
      <c r="V38" s="54" t="e">
        <f>IF(AND(L38=1,M38="pass",O38="pass",U38="pass",Standards_Data!M$20="pass",Standards_Data!M$21="pass",Standards_Data!M$6="pass",Standards_Data!H$30="pass",Sketa22_Data!G$18="pass"),"pass","fail")</f>
        <v>#DIV/0!</v>
      </c>
      <c r="W38" s="122" t="e">
        <f t="shared" si="2"/>
        <v>#DIV/0!</v>
      </c>
      <c r="X38" s="122"/>
      <c r="Y38" s="122"/>
      <c r="Z38" s="122"/>
      <c r="AA38" s="34"/>
      <c r="AJ38" s="61"/>
    </row>
    <row r="39" spans="1:40" ht="15.75" thickBot="1" x14ac:dyDescent="0.3">
      <c r="A39" s="109">
        <v>1</v>
      </c>
      <c r="B39" s="109">
        <v>1</v>
      </c>
      <c r="C39" s="156"/>
      <c r="D39" s="105">
        <v>4</v>
      </c>
      <c r="E39" s="106"/>
      <c r="F39" s="107">
        <v>3</v>
      </c>
      <c r="G39" s="108">
        <v>12</v>
      </c>
      <c r="H39" s="161"/>
      <c r="I39" s="162"/>
      <c r="J39" s="177"/>
      <c r="K39" s="109" t="e">
        <f>IF(I39&lt;Standards_Data!M$18,"pass",IF(OR(H39&gt;Standards_Data!M$17,H39="undetermined"),"inhb","comp"))</f>
        <v>#DIV/0!</v>
      </c>
      <c r="L39" s="110" t="e">
        <f t="shared" si="1"/>
        <v>#DIV/0!</v>
      </c>
      <c r="M39" s="109" t="e">
        <f>IF(OR(COUNT(L37:L39)=0,Standards_Data!M$5&gt;Standards_Data!M$23)," ",IF(SUM(L37:L39) &gt;=2,"pass","fail"))</f>
        <v>#DIV/0!</v>
      </c>
      <c r="N39" s="182">
        <f>IF(H39="undetermined",0,IF(H39&gt;=Standards_Data!M$25,0,1))</f>
        <v>0</v>
      </c>
      <c r="O39" s="109" t="e">
        <f>IF(H39="undetermined","ND",IF(H39&gt;Standards_Data!M$22,"fail","pass"))</f>
        <v>#DIV/0!</v>
      </c>
      <c r="P39" s="109"/>
      <c r="Q39" s="109"/>
      <c r="R39" s="109"/>
      <c r="S39" s="111" t="e">
        <f>IF(AND(P37&gt;(Sketa22_Data!O$4+3*Sketa22_Data!O$5), P37&lt;= (Sketa22_Data!O$4+3.3)),P37-(Sketa22_Data!O$4+3*Sketa22_Data!O$5)," ")</f>
        <v>#DIV/0!</v>
      </c>
      <c r="T39" s="109" t="e">
        <f>IF(AND(P37&gt;(Sketa22_Data!O$4+3*Sketa22_Data!O$5), P37&lt;= (Sketa22_Data!O$4+3.3)),"pass"," ")</f>
        <v>#DIV/0!</v>
      </c>
      <c r="U39" s="109" t="e">
        <f>IF(AND(Sketa22_Data!O$5 &lt;0.62,OR(Q37="pass",T37="pass")),"pass"," ")</f>
        <v>#DIV/0!</v>
      </c>
      <c r="V39" s="109" t="e">
        <f>IF(AND(L39=1,M39="pass",O39="pass",U39="pass",Standards_Data!M$20="pass",Standards_Data!M$21="pass",Standards_Data!M$6="pass",Standards_Data!H$30="pass",Sketa22_Data!G$18="pass"),"pass","fail")</f>
        <v>#DIV/0!</v>
      </c>
      <c r="W39" s="123" t="e">
        <f t="shared" si="2"/>
        <v>#DIV/0!</v>
      </c>
      <c r="X39" s="123"/>
      <c r="Y39" s="123"/>
      <c r="Z39" s="123"/>
      <c r="AA39" s="109"/>
      <c r="AB39" s="112"/>
      <c r="AC39" s="113"/>
      <c r="AD39" s="114"/>
      <c r="AE39" s="114"/>
      <c r="AF39" s="114"/>
      <c r="AG39" s="114"/>
      <c r="AH39" s="115"/>
      <c r="AI39" s="116"/>
      <c r="AJ39" s="117"/>
    </row>
    <row r="40" spans="1:40" x14ac:dyDescent="0.25">
      <c r="A40" s="34">
        <v>1</v>
      </c>
      <c r="B40" s="34">
        <v>1</v>
      </c>
      <c r="C40" s="2"/>
      <c r="D40" s="101">
        <v>5</v>
      </c>
      <c r="E40" s="102"/>
      <c r="F40" s="103">
        <v>1</v>
      </c>
      <c r="G40" s="99">
        <v>13</v>
      </c>
      <c r="H40" s="173"/>
      <c r="I40" s="174"/>
      <c r="J40" s="178"/>
      <c r="K40" s="172" t="e">
        <f>IF(I40&lt;Standards_Data!M$18,"pass",IF(OR(H40&gt;Standards_Data!M$17,H40="undetermined"),"inhb","comp"))</f>
        <v>#DIV/0!</v>
      </c>
      <c r="L40" s="55" t="e">
        <f t="shared" si="1"/>
        <v>#DIV/0!</v>
      </c>
      <c r="M40" s="54" t="e">
        <f>IF(OR(COUNT(L40:L42)=0,Standards_Data!M$5&gt;Standards_Data!M$23)," ",IF(SUM(L40:L42) &gt;=2,"pass","fail"))</f>
        <v>#DIV/0!</v>
      </c>
      <c r="N40" s="56">
        <f>IF(H40="undetermined",0,IF(H40&gt;=Standards_Data!M$25,0,1))</f>
        <v>0</v>
      </c>
      <c r="O40" s="34" t="e">
        <f>IF(H40="undetermined","ND",IF(H40&gt;Standards_Data!M$22,"fail","pass"))</f>
        <v>#DIV/0!</v>
      </c>
      <c r="P40" s="57" t="str">
        <f>IF(COUNT(J40:J42)=0," ",AVERAGE(J40:J42))</f>
        <v xml:space="preserve"> </v>
      </c>
      <c r="Q40" s="54" t="str">
        <f>IF(P40=" "," ",IF(P40&gt; (Sketa22_Data!O$4+3*Sketa22_Data!O$5),"fail","pass"))</f>
        <v xml:space="preserve"> </v>
      </c>
      <c r="R40" s="54" t="str">
        <f>IF(P40=" "," ",IF(P40&gt; (Sketa22_Data!O$4+3.3),"fail","pass"))</f>
        <v xml:space="preserve"> </v>
      </c>
      <c r="S40" s="57" t="e">
        <f>IF(AND(P40&gt;(Sketa22_Data!O$4+3*Sketa22_Data!O$5), P40&lt;= (Sketa22_Data!O$4+3.3)),P40-(Sketa22_Data!O$4+3*Sketa22_Data!O$5)," ")</f>
        <v>#DIV/0!</v>
      </c>
      <c r="T40" s="54" t="e">
        <f>IF(AND(P40&gt;(Sketa22_Data!O$4+3*Sketa22_Data!O$5), P40&lt;= (Sketa22_Data!O$4+3.3)),"pass"," ")</f>
        <v>#DIV/0!</v>
      </c>
      <c r="U40" s="54" t="e">
        <f>IF(AND(Sketa22_Data!O$5 &lt;0.62,OR(Q40="pass",T40="pass")),"pass"," ")</f>
        <v>#DIV/0!</v>
      </c>
      <c r="V40" s="54" t="e">
        <f>IF(AND(L40=1,M40="pass",O40="pass",U40="pass",Standards_Data!M$20="pass",Standards_Data!M$21="pass",Standards_Data!M$6="pass",Standards_Data!H$30="pass",Sketa22_Data!G$18="pass"),"pass","fail")</f>
        <v>#DIV/0!</v>
      </c>
      <c r="W40" s="122" t="e">
        <f t="shared" si="2"/>
        <v>#DIV/0!</v>
      </c>
      <c r="X40" s="124" t="str">
        <f>IF(COUNT(W40:W48)=0,  " ",AVERAGE(W40:W48))</f>
        <v xml:space="preserve"> </v>
      </c>
      <c r="Y40" s="124" t="str">
        <f>IF( X40=" ", " ",(X40-Standards_Data!M$11)/Standards_Data!M$7)</f>
        <v xml:space="preserve"> </v>
      </c>
      <c r="Z40" s="124" t="str">
        <f>IF(Y40=" "," ",SQRT((1/Standards_Data!$M$7^2)*(Standards_Data!$M$12^2+AJ41^2+ (-2*(X40-Standards_Data!$M$11)*SUMSQ(Standards_Data!$AG$10:$AG$24)*AVERAGE(Standards_Data!$AE$10:$AE$24)/(DEVSQ(Standards_Data!$AE$10:$AE$24)*(COUNT(Standards_Data!$AG$10:$AG$24)-2)*Standards_Data!$M$7))+ ((X40-Standards_Data!$M$11)^2*Standards_Data!$M$8^2/(Standards_Data!$M$7^2)))))</f>
        <v xml:space="preserve"> </v>
      </c>
      <c r="AA40" s="104">
        <f>COUNT(W40:W48)</f>
        <v>0</v>
      </c>
      <c r="AD40" s="59" t="s">
        <v>0</v>
      </c>
      <c r="AE40" s="59" t="s">
        <v>1</v>
      </c>
      <c r="AF40" s="59" t="s">
        <v>2</v>
      </c>
      <c r="AG40" s="59" t="s">
        <v>3</v>
      </c>
      <c r="AI40" s="60" t="s">
        <v>95</v>
      </c>
      <c r="AJ40" s="61" t="e">
        <f>AVERAGE(W40:W48)</f>
        <v>#DIV/0!</v>
      </c>
    </row>
    <row r="41" spans="1:40" x14ac:dyDescent="0.25">
      <c r="A41" s="34">
        <v>1</v>
      </c>
      <c r="B41" s="34">
        <v>1</v>
      </c>
      <c r="C41" s="2"/>
      <c r="D41" s="96">
        <v>5</v>
      </c>
      <c r="E41" s="5"/>
      <c r="F41" s="98">
        <v>1</v>
      </c>
      <c r="G41" s="99">
        <v>13</v>
      </c>
      <c r="H41" s="158"/>
      <c r="I41" s="159"/>
      <c r="J41" s="160"/>
      <c r="K41" s="172" t="e">
        <f>IF(I41&lt;Standards_Data!M$18,"pass",IF(OR(H41&gt;Standards_Data!M$17,H41="undetermined"),"inhb","comp"))</f>
        <v>#DIV/0!</v>
      </c>
      <c r="L41" s="55" t="e">
        <f t="shared" si="1"/>
        <v>#DIV/0!</v>
      </c>
      <c r="M41" s="54" t="e">
        <f>IF(OR(COUNT(L40:L42)=0,Standards_Data!M$5&gt;Standards_Data!M$23)," ",IF(SUM(L40:L42) &gt;=2,"pass","fail"))</f>
        <v>#DIV/0!</v>
      </c>
      <c r="N41" s="56">
        <f>IF(H41="undetermined",0,IF(H41&gt;=Standards_Data!M$25,0,1))</f>
        <v>0</v>
      </c>
      <c r="O41" s="34" t="e">
        <f>IF(H41="undetermined","ND",IF(H41&gt;Standards_Data!M$22,"fail","pass"))</f>
        <v>#DIV/0!</v>
      </c>
      <c r="P41" s="54"/>
      <c r="Q41" s="54"/>
      <c r="R41" s="54"/>
      <c r="S41" s="57" t="e">
        <f>IF(AND(P40&gt;(Sketa22_Data!O$4+3*Sketa22_Data!O$5), P40&lt;= (Sketa22_Data!O$4+3.3)),P40-(Sketa22_Data!O$4+3*Sketa22_Data!O$5)," ")</f>
        <v>#DIV/0!</v>
      </c>
      <c r="T41" s="54" t="e">
        <f>IF(AND(P40&gt;(Sketa22_Data!O$4+3*Sketa22_Data!O$5), P40&lt;= (Sketa22_Data!O$4+3.3)),"pass"," ")</f>
        <v>#DIV/0!</v>
      </c>
      <c r="U41" s="54" t="e">
        <f>IF(AND(Sketa22_Data!O$5 &lt;0.62,OR(Q40="pass",T40="pass")),"pass"," ")</f>
        <v>#DIV/0!</v>
      </c>
      <c r="V41" s="54" t="e">
        <f>IF(AND(L41=1,M41="pass",O41="pass",U41="pass",Standards_Data!M$20="pass",Standards_Data!M$21="pass",Standards_Data!M$6="pass",Standards_Data!H$30="pass",Sketa22_Data!G$18="pass"),"pass","fail")</f>
        <v>#DIV/0!</v>
      </c>
      <c r="W41" s="122" t="e">
        <f t="shared" si="2"/>
        <v>#DIV/0!</v>
      </c>
      <c r="X41" s="122"/>
      <c r="Y41" s="122"/>
      <c r="Z41" s="122"/>
      <c r="AA41" s="34"/>
      <c r="AC41" s="65" t="s">
        <v>4</v>
      </c>
      <c r="AD41" s="66" t="e">
        <f>IF(COUNTBLANK(W40:W48) =9,0,DEVSQ(W40:W48))</f>
        <v>#DIV/0!</v>
      </c>
      <c r="AE41" s="67">
        <f>COUNT(W40:W48)-1</f>
        <v>-1</v>
      </c>
      <c r="AF41" s="66" t="e">
        <f>AD41/AE41</f>
        <v>#DIV/0!</v>
      </c>
      <c r="AG41" s="68" t="e">
        <f>IF((AG43 &lt;0),0,AG43) +    IF( (AG42 &lt;0),0,AG42)</f>
        <v>#DIV/0!</v>
      </c>
      <c r="AI41" s="53" t="s">
        <v>23</v>
      </c>
      <c r="AJ41" s="61">
        <f>IF(COUNT(W40:W48) &lt;=3,0,   IF(AG42 &gt;0,SQRT((AG43/(AE41+1))+(AG42*(COUNT(W40:W42)^2+COUNT(W43:W45)^2+COUNT(W46:W48)^2)/(AE41+1)^2)), STDEV(W40:W48)/SQRT(COUNT(W40:W48)  ) ))</f>
        <v>0</v>
      </c>
    </row>
    <row r="42" spans="1:40" x14ac:dyDescent="0.25">
      <c r="A42" s="34">
        <v>1</v>
      </c>
      <c r="B42" s="34">
        <v>1</v>
      </c>
      <c r="C42" s="2"/>
      <c r="D42" s="96">
        <v>5</v>
      </c>
      <c r="E42" s="5"/>
      <c r="F42" s="98">
        <v>1</v>
      </c>
      <c r="G42" s="99">
        <v>13</v>
      </c>
      <c r="H42" s="158"/>
      <c r="I42" s="159"/>
      <c r="J42" s="160"/>
      <c r="K42" s="172" t="e">
        <f>IF(I42&lt;Standards_Data!M$18,"pass",IF(OR(H42&gt;Standards_Data!M$17,H42="undetermined"),"inhb","comp"))</f>
        <v>#DIV/0!</v>
      </c>
      <c r="L42" s="55" t="e">
        <f t="shared" si="1"/>
        <v>#DIV/0!</v>
      </c>
      <c r="M42" s="54" t="e">
        <f>IF(OR(COUNT(L40:L42)=0,Standards_Data!M$5&gt;Standards_Data!M$23)," ",IF(SUM(L40:L42) &gt;=2,"pass","fail"))</f>
        <v>#DIV/0!</v>
      </c>
      <c r="N42" s="56">
        <f>IF(H42="undetermined",0,IF(H42&gt;=Standards_Data!M$25,0,1))</f>
        <v>0</v>
      </c>
      <c r="O42" s="34" t="e">
        <f>IF(H42="undetermined","ND",IF(H42&gt;Standards_Data!M$22,"fail","pass"))</f>
        <v>#DIV/0!</v>
      </c>
      <c r="P42" s="54"/>
      <c r="Q42" s="54"/>
      <c r="R42" s="54"/>
      <c r="S42" s="57" t="e">
        <f>IF(AND(P40&gt;(Sketa22_Data!O$4+3*Sketa22_Data!O$5), P40&lt;= (Sketa22_Data!O$4+3.3)),P40-(Sketa22_Data!O$4+3*Sketa22_Data!O$5)," ")</f>
        <v>#DIV/0!</v>
      </c>
      <c r="T42" s="54" t="e">
        <f>IF(AND(P40&gt;(Sketa22_Data!O$4+3*Sketa22_Data!O$5), P40&lt;= (Sketa22_Data!O$4+3.3)),"pass"," ")</f>
        <v>#DIV/0!</v>
      </c>
      <c r="U42" s="54" t="e">
        <f>IF(AND(Sketa22_Data!O$5 &lt;0.62,OR(Q40="pass",T40="pass")),"pass"," ")</f>
        <v>#DIV/0!</v>
      </c>
      <c r="V42" s="54" t="e">
        <f>IF(AND(L42=1,M42="pass",O42="pass",U42="pass",Standards_Data!M$20="pass",Standards_Data!M$21="pass",Standards_Data!M$6="pass",Standards_Data!H$30="pass",Sketa22_Data!G$18="pass"),"pass","fail")</f>
        <v>#DIV/0!</v>
      </c>
      <c r="W42" s="122" t="e">
        <f t="shared" si="2"/>
        <v>#DIV/0!</v>
      </c>
      <c r="X42" s="122"/>
      <c r="Y42" s="122"/>
      <c r="Z42" s="122"/>
      <c r="AA42" s="34"/>
      <c r="AC42" s="65" t="s">
        <v>6</v>
      </c>
      <c r="AD42" s="66" t="e">
        <f>AD41-(AD43)</f>
        <v>#DIV/0!</v>
      </c>
      <c r="AE42" s="67">
        <f>AE41 - AE43</f>
        <v>2</v>
      </c>
      <c r="AF42" s="66" t="e">
        <f>AD42/AE42</f>
        <v>#DIV/0!</v>
      </c>
      <c r="AG42" s="66" t="e">
        <f>(AF42-AF43)/(((COUNT(  W40:W42)+COUNT(  W43:W45)+COUNT(  W46:W48))-(COUNT(  W40:W42)^2+COUNT(  W43:W45)^2+COUNT(  W46:W48)^2)/(COUNT(  W40:W42)+COUNT(  W43:W45)+COUNT(  W46:W48)))/((IF(COUNTBLANK(  W40:W42)=3,0,1))+(IF(COUNTBLANK(  W43:W45)=3,0,1))+(IF(COUNTBLANK(  W46:W48)=3,0,1))-1))</f>
        <v>#DIV/0!</v>
      </c>
      <c r="AJ42" s="61"/>
    </row>
    <row r="43" spans="1:40" x14ac:dyDescent="0.25">
      <c r="A43" s="34">
        <v>1</v>
      </c>
      <c r="B43" s="34">
        <v>1</v>
      </c>
      <c r="C43" s="2"/>
      <c r="D43" s="96">
        <v>5</v>
      </c>
      <c r="E43" s="5"/>
      <c r="F43" s="98">
        <v>2</v>
      </c>
      <c r="G43" s="99">
        <v>14</v>
      </c>
      <c r="H43" s="158"/>
      <c r="I43" s="159"/>
      <c r="J43" s="160"/>
      <c r="K43" s="172" t="e">
        <f>IF(I43&lt;Standards_Data!M$18,"pass",IF(OR(H43&gt;Standards_Data!M$17,H43="undetermined"),"inhb","comp"))</f>
        <v>#DIV/0!</v>
      </c>
      <c r="L43" s="55" t="e">
        <f t="shared" si="1"/>
        <v>#DIV/0!</v>
      </c>
      <c r="M43" s="54" t="e">
        <f>IF(OR(COUNT(L43:L45)=0,Standards_Data!M$5&gt;Standards_Data!M$23)," ",IF(SUM(L43:L45) &gt;=2,"pass","fail"))</f>
        <v>#DIV/0!</v>
      </c>
      <c r="N43" s="56">
        <f>IF(H43="undetermined",0,IF(H43&gt;=Standards_Data!M$25,0,1))</f>
        <v>0</v>
      </c>
      <c r="O43" s="34" t="e">
        <f>IF(H43="undetermined","ND",IF(H43&gt;Standards_Data!M$22,"fail","pass"))</f>
        <v>#DIV/0!</v>
      </c>
      <c r="P43" s="57" t="str">
        <f>IF(COUNT(J43:J45)=0," ",AVERAGE(J43:J45))</f>
        <v xml:space="preserve"> </v>
      </c>
      <c r="Q43" s="54" t="str">
        <f>IF(P43=" "," ",IF(P43&gt; (Sketa22_Data!O$4+3*Sketa22_Data!O$5),"fail","pass"))</f>
        <v xml:space="preserve"> </v>
      </c>
      <c r="R43" s="54" t="str">
        <f>IF(P43=" "," ",IF(P43&gt; (Sketa22_Data!O$4+3.3),"fail","pass"))</f>
        <v xml:space="preserve"> </v>
      </c>
      <c r="S43" s="57" t="e">
        <f>IF(AND(P43&gt;(Sketa22_Data!O$4+3*Sketa22_Data!O$5), P43&lt;= (Sketa22_Data!O$4+3.3)),P43-(Sketa22_Data!O$4+3*Sketa22_Data!O$5)," ")</f>
        <v>#DIV/0!</v>
      </c>
      <c r="T43" s="54" t="e">
        <f>IF(AND(P43&gt;(Sketa22_Data!O$4+3*Sketa22_Data!O$5), P43&lt;= (Sketa22_Data!O$4+3.3)),"pass"," ")</f>
        <v>#DIV/0!</v>
      </c>
      <c r="U43" s="54" t="e">
        <f>IF(AND(Sketa22_Data!O$5 &lt;0.62,OR(Q43="pass",T43="pass")),"pass"," ")</f>
        <v>#DIV/0!</v>
      </c>
      <c r="V43" s="54" t="e">
        <f>IF(AND(L43=1,M43="pass",O43="pass",U43="pass",Standards_Data!M$20="pass",Standards_Data!M$21="pass",Standards_Data!M$6="pass",Standards_Data!H$30="pass",Sketa22_Data!G$18="pass"),"pass","fail")</f>
        <v>#DIV/0!</v>
      </c>
      <c r="W43" s="122" t="e">
        <f t="shared" si="2"/>
        <v>#DIV/0!</v>
      </c>
      <c r="X43" s="122"/>
      <c r="Y43" s="122"/>
      <c r="Z43" s="122"/>
      <c r="AA43" s="34"/>
      <c r="AC43" s="65" t="s">
        <v>5</v>
      </c>
      <c r="AD43" s="66" t="e">
        <f>IF(COUNTBLANK(  W40:W42)=3,0,DEVSQ(  W40:W42))+IF(COUNTBLANK(  W43:W45)=3,0,DEVSQ(  W43:W45))+IF(COUNTBLANK(  W46:W48)=3,0,DEVSQ(  W46:W48))</f>
        <v>#DIV/0!</v>
      </c>
      <c r="AE43" s="69">
        <f>IF(COUNTBLANK(  W40:W42)=3,0,COUNT(  W40:W42)-1)+IF(COUNTBLANK(  W43:W45)=3,0,COUNT(  W43:W45)-1)+IF(COUNTBLANK(  W46:W48)=3,0,COUNT(  W46:W48)-1)</f>
        <v>-3</v>
      </c>
      <c r="AF43" s="66" t="e">
        <f>AD43/AE43</f>
        <v>#DIV/0!</v>
      </c>
      <c r="AG43" s="66" t="e">
        <f>AF43</f>
        <v>#DIV/0!</v>
      </c>
      <c r="AJ43" s="61"/>
    </row>
    <row r="44" spans="1:40" x14ac:dyDescent="0.25">
      <c r="A44" s="34">
        <v>1</v>
      </c>
      <c r="B44" s="34">
        <v>1</v>
      </c>
      <c r="C44" s="2"/>
      <c r="D44" s="96">
        <v>5</v>
      </c>
      <c r="E44" s="5"/>
      <c r="F44" s="98">
        <v>2</v>
      </c>
      <c r="G44" s="99">
        <v>14</v>
      </c>
      <c r="H44" s="158"/>
      <c r="I44" s="159"/>
      <c r="J44" s="160"/>
      <c r="K44" s="172" t="e">
        <f>IF(I44&lt;Standards_Data!M$18,"pass",IF(OR(H44&gt;Standards_Data!M$17,H44="undetermined"),"inhb","comp"))</f>
        <v>#DIV/0!</v>
      </c>
      <c r="L44" s="55" t="e">
        <f t="shared" si="1"/>
        <v>#DIV/0!</v>
      </c>
      <c r="M44" s="54" t="e">
        <f>IF(OR(COUNT(L43:L45)=0,Standards_Data!M$5&gt;Standards_Data!M$23)," ",IF(SUM(L43:L45) &gt;=2,"pass","fail"))</f>
        <v>#DIV/0!</v>
      </c>
      <c r="N44" s="56">
        <f>IF(H44="undetermined",0,IF(H44&gt;=Standards_Data!M$25,0,1))</f>
        <v>0</v>
      </c>
      <c r="O44" s="34" t="e">
        <f>IF(H44="undetermined","ND",IF(H44&gt;Standards_Data!M$22,"fail","pass"))</f>
        <v>#DIV/0!</v>
      </c>
      <c r="P44" s="54"/>
      <c r="Q44" s="54"/>
      <c r="R44" s="54"/>
      <c r="S44" s="57" t="e">
        <f>IF(AND(P43&gt;(Sketa22_Data!O$4+3*Sketa22_Data!O$5), P43&lt;= (Sketa22_Data!O$4+3.3)),P43-(Sketa22_Data!O$4+3*Sketa22_Data!O$5)," ")</f>
        <v>#DIV/0!</v>
      </c>
      <c r="T44" s="54" t="e">
        <f>IF(AND(P43&gt;(Sketa22_Data!O$4+3*Sketa22_Data!O$5), P43&lt;= (Sketa22_Data!O$4+3.3)),"pass"," ")</f>
        <v>#DIV/0!</v>
      </c>
      <c r="U44" s="54" t="e">
        <f>IF(AND(Sketa22_Data!O$5 &lt;0.62,OR(Q43="pass",T43="pass")),"pass"," ")</f>
        <v>#DIV/0!</v>
      </c>
      <c r="V44" s="54" t="e">
        <f>IF(AND(L44=1,M44="pass",O44="pass",U44="pass",Standards_Data!M$20="pass",Standards_Data!M$21="pass",Standards_Data!M$6="pass",Standards_Data!H$30="pass",Sketa22_Data!G$18="pass"),"pass","fail")</f>
        <v>#DIV/0!</v>
      </c>
      <c r="W44" s="122" t="e">
        <f t="shared" si="2"/>
        <v>#DIV/0!</v>
      </c>
      <c r="X44" s="122"/>
      <c r="Y44" s="122"/>
      <c r="Z44" s="122"/>
      <c r="AA44" s="34"/>
      <c r="AJ44" s="61"/>
    </row>
    <row r="45" spans="1:40" x14ac:dyDescent="0.25">
      <c r="A45" s="34">
        <v>1</v>
      </c>
      <c r="B45" s="34">
        <v>1</v>
      </c>
      <c r="C45" s="2"/>
      <c r="D45" s="96">
        <v>5</v>
      </c>
      <c r="E45" s="5"/>
      <c r="F45" s="98">
        <v>2</v>
      </c>
      <c r="G45" s="99">
        <v>14</v>
      </c>
      <c r="H45" s="158"/>
      <c r="I45" s="159"/>
      <c r="J45" s="160"/>
      <c r="K45" s="172" t="e">
        <f>IF(I45&lt;Standards_Data!M$18,"pass",IF(OR(H45&gt;Standards_Data!M$17,H45="undetermined"),"inhb","comp"))</f>
        <v>#DIV/0!</v>
      </c>
      <c r="L45" s="55" t="e">
        <f t="shared" si="1"/>
        <v>#DIV/0!</v>
      </c>
      <c r="M45" s="54" t="e">
        <f>IF(OR(COUNT(L43:L45)=0,Standards_Data!M$5&gt;Standards_Data!M$23)," ",IF(SUM(L43:L45) &gt;=2,"pass","fail"))</f>
        <v>#DIV/0!</v>
      </c>
      <c r="N45" s="56">
        <f>IF(H45="undetermined",0,IF(H45&gt;=Standards_Data!M$25,0,1))</f>
        <v>0</v>
      </c>
      <c r="O45" s="34" t="e">
        <f>IF(H45="undetermined","ND",IF(H45&gt;Standards_Data!M$22,"fail","pass"))</f>
        <v>#DIV/0!</v>
      </c>
      <c r="P45" s="54"/>
      <c r="Q45" s="54"/>
      <c r="R45" s="54"/>
      <c r="S45" s="57" t="e">
        <f>IF(AND(P43&gt;(Sketa22_Data!O$4+3*Sketa22_Data!O$5), P43&lt;= (Sketa22_Data!O$4+3.3)),P43-(Sketa22_Data!O$4+3*Sketa22_Data!O$5)," ")</f>
        <v>#DIV/0!</v>
      </c>
      <c r="T45" s="54" t="e">
        <f>IF(AND(P43&gt;(Sketa22_Data!O$4+3*Sketa22_Data!O$5), P43&lt;= (Sketa22_Data!O$4+3.3)),"pass"," ")</f>
        <v>#DIV/0!</v>
      </c>
      <c r="U45" s="54" t="e">
        <f>IF(AND(Sketa22_Data!O$5 &lt;0.62,OR(Q43="pass",T43="pass")),"pass"," ")</f>
        <v>#DIV/0!</v>
      </c>
      <c r="V45" s="54" t="e">
        <f>IF(AND(L45=1,M45="pass",O45="pass",U45="pass",Standards_Data!M$20="pass",Standards_Data!M$21="pass",Standards_Data!M$6="pass",Standards_Data!H$30="pass",Sketa22_Data!G$18="pass"),"pass","fail")</f>
        <v>#DIV/0!</v>
      </c>
      <c r="W45" s="122" t="e">
        <f t="shared" si="2"/>
        <v>#DIV/0!</v>
      </c>
      <c r="X45" s="122"/>
      <c r="Y45" s="122"/>
      <c r="Z45" s="122"/>
      <c r="AA45" s="34"/>
      <c r="AJ45" s="61"/>
    </row>
    <row r="46" spans="1:40" x14ac:dyDescent="0.25">
      <c r="A46" s="34">
        <v>1</v>
      </c>
      <c r="B46" s="34">
        <v>1</v>
      </c>
      <c r="C46" s="2"/>
      <c r="D46" s="96">
        <v>5</v>
      </c>
      <c r="E46" s="5"/>
      <c r="F46" s="98">
        <v>3</v>
      </c>
      <c r="G46" s="99">
        <v>15</v>
      </c>
      <c r="H46" s="158"/>
      <c r="I46" s="159"/>
      <c r="J46" s="160"/>
      <c r="K46" s="172" t="e">
        <f>IF(I46&lt;Standards_Data!M$18,"pass",IF(OR(H46&gt;Standards_Data!M$17,H46="undetermined"),"inhb","comp"))</f>
        <v>#DIV/0!</v>
      </c>
      <c r="L46" s="55" t="e">
        <f t="shared" si="1"/>
        <v>#DIV/0!</v>
      </c>
      <c r="M46" s="54" t="e">
        <f>IF(OR(COUNT(L46:L48)=0,Standards_Data!M$5&gt;Standards_Data!M$23)," ",IF(SUM(L46:L48) &gt;=2,"pass","fail"))</f>
        <v>#DIV/0!</v>
      </c>
      <c r="N46" s="56">
        <f>IF(H46="undetermined",0,IF(H46&gt;=Standards_Data!M$25,0,1))</f>
        <v>0</v>
      </c>
      <c r="O46" s="34" t="e">
        <f>IF(H46="undetermined","ND",IF(H46&gt;Standards_Data!M$22,"fail","pass"))</f>
        <v>#DIV/0!</v>
      </c>
      <c r="P46" s="57" t="str">
        <f>IF(COUNT(J46:J48)=0," ",AVERAGE(J46:J48))</f>
        <v xml:space="preserve"> </v>
      </c>
      <c r="Q46" s="54" t="str">
        <f>IF(P46=" "," ",IF(P46&gt; (Sketa22_Data!O$4+3*Sketa22_Data!O$5),"fail","pass"))</f>
        <v xml:space="preserve"> </v>
      </c>
      <c r="R46" s="54" t="str">
        <f>IF(P46=" "," ",IF(P46&gt; (Sketa22_Data!O$4+3.3),"fail","pass"))</f>
        <v xml:space="preserve"> </v>
      </c>
      <c r="S46" s="57" t="e">
        <f>IF(AND(P46&gt;(Sketa22_Data!O$4+3*Sketa22_Data!O$5), P46&lt;= (Sketa22_Data!O$4+3.3)),P46-(Sketa22_Data!O$4+3*Sketa22_Data!O$5)," ")</f>
        <v>#DIV/0!</v>
      </c>
      <c r="T46" s="54" t="e">
        <f>IF(AND(P46&gt;(Sketa22_Data!O$4+3*Sketa22_Data!O$5), P46&lt;= (Sketa22_Data!O$4+3.3)),"pass"," ")</f>
        <v>#DIV/0!</v>
      </c>
      <c r="U46" s="54" t="e">
        <f>IF(AND(Sketa22_Data!O$5 &lt;0.62,OR(Q46="pass",T46="pass")),"pass"," ")</f>
        <v>#DIV/0!</v>
      </c>
      <c r="V46" s="54" t="e">
        <f>IF(AND(L46=1,M46="pass",O46="pass",U46="pass",Standards_Data!M$20="pass",Standards_Data!M$21="pass",Standards_Data!M$6="pass",Standards_Data!H$30="pass",Sketa22_Data!G$18="pass"),"pass","fail")</f>
        <v>#DIV/0!</v>
      </c>
      <c r="W46" s="122" t="e">
        <f t="shared" si="2"/>
        <v>#DIV/0!</v>
      </c>
      <c r="X46" s="122"/>
      <c r="Y46" s="122"/>
      <c r="Z46" s="122"/>
      <c r="AA46" s="34"/>
      <c r="AJ46" s="61"/>
    </row>
    <row r="47" spans="1:40" x14ac:dyDescent="0.25">
      <c r="A47" s="34">
        <v>1</v>
      </c>
      <c r="B47" s="34">
        <v>1</v>
      </c>
      <c r="C47" s="2"/>
      <c r="D47" s="96">
        <v>5</v>
      </c>
      <c r="E47" s="5"/>
      <c r="F47" s="98">
        <v>3</v>
      </c>
      <c r="G47" s="99">
        <v>15</v>
      </c>
      <c r="H47" s="158"/>
      <c r="I47" s="159"/>
      <c r="J47" s="160"/>
      <c r="K47" s="172" t="e">
        <f>IF(I47&lt;Standards_Data!M$18,"pass",IF(OR(H47&gt;Standards_Data!M$17,H47="undetermined"),"inhb","comp"))</f>
        <v>#DIV/0!</v>
      </c>
      <c r="L47" s="55" t="e">
        <f t="shared" si="1"/>
        <v>#DIV/0!</v>
      </c>
      <c r="M47" s="54" t="e">
        <f>IF(OR(COUNT(L46:L48)=0,Standards_Data!M$5&gt;Standards_Data!M$23)," ",IF(SUM(L46:L48) &gt;=2,"pass","fail"))</f>
        <v>#DIV/0!</v>
      </c>
      <c r="N47" s="56">
        <f>IF(H47="undetermined",0,IF(H47&gt;=Standards_Data!M$25,0,1))</f>
        <v>0</v>
      </c>
      <c r="O47" s="34" t="e">
        <f>IF(H47="undetermined","ND",IF(H47&gt;Standards_Data!M$22,"fail","pass"))</f>
        <v>#DIV/0!</v>
      </c>
      <c r="P47" s="54"/>
      <c r="Q47" s="54"/>
      <c r="R47" s="54"/>
      <c r="S47" s="57" t="e">
        <f>IF(AND(P46&gt;(Sketa22_Data!O$4+3*Sketa22_Data!O$5), P46&lt;= (Sketa22_Data!O$4+3.3)),P46-(Sketa22_Data!O$4+3*Sketa22_Data!O$5)," ")</f>
        <v>#DIV/0!</v>
      </c>
      <c r="T47" s="54" t="e">
        <f>IF(AND(P46&gt;(Sketa22_Data!O$4+3*Sketa22_Data!O$5), P46&lt;= (Sketa22_Data!O$4+3.3)),"pass"," ")</f>
        <v>#DIV/0!</v>
      </c>
      <c r="U47" s="54" t="e">
        <f>IF(AND(Sketa22_Data!O$5 &lt;0.62,OR(Q46="pass",T46="pass")),"pass"," ")</f>
        <v>#DIV/0!</v>
      </c>
      <c r="V47" s="54" t="e">
        <f>IF(AND(L47=1,M47="pass",O47="pass",U47="pass",Standards_Data!M$20="pass",Standards_Data!M$21="pass",Standards_Data!M$6="pass",Standards_Data!H$30="pass",Sketa22_Data!G$18="pass"),"pass","fail")</f>
        <v>#DIV/0!</v>
      </c>
      <c r="W47" s="122" t="e">
        <f t="shared" si="2"/>
        <v>#DIV/0!</v>
      </c>
      <c r="X47" s="122"/>
      <c r="Y47" s="122"/>
      <c r="Z47" s="122"/>
      <c r="AA47" s="34"/>
      <c r="AJ47" s="61"/>
    </row>
    <row r="48" spans="1:40" ht="15.75" thickBot="1" x14ac:dyDescent="0.3">
      <c r="A48" s="109">
        <v>1</v>
      </c>
      <c r="B48" s="109">
        <v>1</v>
      </c>
      <c r="C48" s="156"/>
      <c r="D48" s="105">
        <v>5</v>
      </c>
      <c r="E48" s="106"/>
      <c r="F48" s="107">
        <v>3</v>
      </c>
      <c r="G48" s="108">
        <v>15</v>
      </c>
      <c r="H48" s="161"/>
      <c r="I48" s="162"/>
      <c r="J48" s="163"/>
      <c r="K48" s="109" t="e">
        <f>IF(I48&lt;Standards_Data!M$18,"pass",IF(OR(H48&gt;Standards_Data!M$17,H48="undetermined"),"inhb","comp"))</f>
        <v>#DIV/0!</v>
      </c>
      <c r="L48" s="110" t="e">
        <f t="shared" si="1"/>
        <v>#DIV/0!</v>
      </c>
      <c r="M48" s="109" t="e">
        <f>IF(OR(COUNT(L46:L48)=0,Standards_Data!M$5&gt;Standards_Data!M$23)," ",IF(SUM(L46:L48) &gt;=2,"pass","fail"))</f>
        <v>#DIV/0!</v>
      </c>
      <c r="N48" s="182">
        <f>IF(H48="undetermined",0,IF(H48&gt;=Standards_Data!M$25,0,1))</f>
        <v>0</v>
      </c>
      <c r="O48" s="109" t="e">
        <f>IF(H48="undetermined","ND",IF(H48&gt;Standards_Data!M$22,"fail","pass"))</f>
        <v>#DIV/0!</v>
      </c>
      <c r="P48" s="109"/>
      <c r="Q48" s="109"/>
      <c r="R48" s="109"/>
      <c r="S48" s="111" t="e">
        <f>IF(AND(P46&gt;(Sketa22_Data!O$4+3*Sketa22_Data!O$5), P46&lt;= (Sketa22_Data!O$4+3.3)),P46-(Sketa22_Data!O$4+3*Sketa22_Data!O$5)," ")</f>
        <v>#DIV/0!</v>
      </c>
      <c r="T48" s="109" t="e">
        <f>IF(AND(P46&gt;(Sketa22_Data!O$4+3*Sketa22_Data!O$5), P46&lt;= (Sketa22_Data!O$4+3.3)),"pass"," ")</f>
        <v>#DIV/0!</v>
      </c>
      <c r="U48" s="109" t="e">
        <f>IF(AND(Sketa22_Data!O$5 &lt;0.62,OR(Q46="pass",T46="pass")),"pass"," ")</f>
        <v>#DIV/0!</v>
      </c>
      <c r="V48" s="109" t="e">
        <f>IF(AND(L48=1,M48="pass",O48="pass",U48="pass",Standards_Data!M$20="pass",Standards_Data!M$21="pass",Standards_Data!M$6="pass",Standards_Data!H$30="pass",Sketa22_Data!G$18="pass"),"pass","fail")</f>
        <v>#DIV/0!</v>
      </c>
      <c r="W48" s="123" t="e">
        <f t="shared" si="2"/>
        <v>#DIV/0!</v>
      </c>
      <c r="X48" s="123"/>
      <c r="Y48" s="123"/>
      <c r="Z48" s="123"/>
      <c r="AA48" s="109"/>
      <c r="AB48" s="112"/>
      <c r="AC48" s="113"/>
      <c r="AD48" s="114"/>
      <c r="AE48" s="114"/>
      <c r="AF48" s="114"/>
      <c r="AG48" s="114"/>
      <c r="AH48" s="115"/>
      <c r="AI48" s="116"/>
      <c r="AJ48" s="117"/>
    </row>
    <row r="49" spans="1:36" x14ac:dyDescent="0.25">
      <c r="A49" s="34">
        <v>1</v>
      </c>
      <c r="B49" s="34">
        <v>1</v>
      </c>
      <c r="C49" s="2"/>
      <c r="D49" s="101">
        <v>6</v>
      </c>
      <c r="E49" s="102"/>
      <c r="F49" s="103">
        <v>1</v>
      </c>
      <c r="G49" s="99">
        <v>16</v>
      </c>
      <c r="H49" s="152"/>
      <c r="I49" s="152"/>
      <c r="J49" s="153"/>
      <c r="K49" s="172" t="e">
        <f>IF(I49&lt;Standards_Data!M$18,"pass",IF(OR(H49&gt;Standards_Data!M$17,H49="undetermined"),"inhb","comp"))</f>
        <v>#DIV/0!</v>
      </c>
      <c r="L49" s="55" t="e">
        <f t="shared" si="1"/>
        <v>#DIV/0!</v>
      </c>
      <c r="M49" s="54" t="e">
        <f>IF(OR(COUNT(L49:L51)=0,Standards_Data!M$5&gt;Standards_Data!M$23)," ",IF(SUM(L49:L51) &gt;=2,"pass","fail"))</f>
        <v>#DIV/0!</v>
      </c>
      <c r="N49" s="56">
        <f>IF(H49="undetermined",0,IF(H49&gt;=Standards_Data!M$25,0,1))</f>
        <v>0</v>
      </c>
      <c r="O49" s="34" t="e">
        <f>IF(H49="undetermined","ND",IF(H49&gt;Standards_Data!M$22,"fail","pass"))</f>
        <v>#DIV/0!</v>
      </c>
      <c r="P49" s="57" t="str">
        <f>IF(COUNT(J49:J51)=0," ",AVERAGE(J49:J51))</f>
        <v xml:space="preserve"> </v>
      </c>
      <c r="Q49" s="54" t="str">
        <f>IF(P49=" "," ",IF(P49&gt; (Sketa22_Data!O$4+3*Sketa22_Data!O$5),"fail","pass"))</f>
        <v xml:space="preserve"> </v>
      </c>
      <c r="R49" s="54" t="str">
        <f>IF(P49=" "," ",IF(P49&gt; (Sketa22_Data!O$4+3.3),"fail","pass"))</f>
        <v xml:space="preserve"> </v>
      </c>
      <c r="S49" s="57" t="e">
        <f>IF(AND(P49&gt;(Sketa22_Data!O$4+3*Sketa22_Data!O$5), P49&lt;= (Sketa22_Data!O$4+3.3)),P49-(Sketa22_Data!O$4+3*Sketa22_Data!O$5)," ")</f>
        <v>#DIV/0!</v>
      </c>
      <c r="T49" s="54" t="e">
        <f>IF(AND(P49&gt;(Sketa22_Data!O$4+3*Sketa22_Data!O$5), P49&lt;= (Sketa22_Data!O$4+3.3)),"pass"," ")</f>
        <v>#DIV/0!</v>
      </c>
      <c r="U49" s="54" t="e">
        <f>IF(AND(Sketa22_Data!O$5 &lt;0.62,OR(Q49="pass",T49="pass")),"pass"," ")</f>
        <v>#DIV/0!</v>
      </c>
      <c r="V49" s="54" t="e">
        <f>IF(AND(L49=1,M49="pass",O49="pass",U49="pass",Standards_Data!M$20="pass",Standards_Data!M$21="pass",Standards_Data!M$6="pass",Standards_Data!H$30="pass",Sketa22_Data!G$18="pass"),"pass","fail")</f>
        <v>#DIV/0!</v>
      </c>
      <c r="W49" s="122" t="e">
        <f t="shared" si="2"/>
        <v>#DIV/0!</v>
      </c>
      <c r="X49" s="124" t="str">
        <f>IF(COUNT(W49:W57)=0,  " ",AVERAGE(W49:W57))</f>
        <v xml:space="preserve"> </v>
      </c>
      <c r="Y49" s="124" t="str">
        <f>IF( X49=" ", " ",(X49-Standards_Data!M$11)/Standards_Data!M$7)</f>
        <v xml:space="preserve"> </v>
      </c>
      <c r="Z49" s="124" t="str">
        <f>IF(Y49=" "," ",SQRT((1/Standards_Data!$M$7^2)*(Standards_Data!$M$12^2+AJ50^2+ (-2*(X49-Standards_Data!$M$11)*SUMSQ(Standards_Data!$AG$10:$AG$24)*AVERAGE(Standards_Data!$AE$10:$AE$24)/(DEVSQ(Standards_Data!$AE$10:$AE$24)*(COUNT(Standards_Data!$AG$10:$AG$24)-2)*Standards_Data!$M$7))+ ((X49-Standards_Data!$M$11)^2*Standards_Data!$M$8^2/(Standards_Data!$M$7^2)))))</f>
        <v xml:space="preserve"> </v>
      </c>
      <c r="AA49" s="104">
        <f>COUNT(W49:W57)</f>
        <v>0</v>
      </c>
      <c r="AD49" s="59" t="s">
        <v>0</v>
      </c>
      <c r="AE49" s="59" t="s">
        <v>1</v>
      </c>
      <c r="AF49" s="59" t="s">
        <v>2</v>
      </c>
      <c r="AG49" s="59" t="s">
        <v>3</v>
      </c>
      <c r="AI49" s="60" t="s">
        <v>95</v>
      </c>
      <c r="AJ49" s="61" t="e">
        <f>AVERAGE(W49:W57)</f>
        <v>#DIV/0!</v>
      </c>
    </row>
    <row r="50" spans="1:36" x14ac:dyDescent="0.25">
      <c r="A50" s="34">
        <v>1</v>
      </c>
      <c r="B50" s="34">
        <v>1</v>
      </c>
      <c r="C50" s="2"/>
      <c r="D50" s="96">
        <v>6</v>
      </c>
      <c r="E50" s="5"/>
      <c r="F50" s="98">
        <v>1</v>
      </c>
      <c r="G50" s="99">
        <v>16</v>
      </c>
      <c r="H50" s="148"/>
      <c r="I50" s="148"/>
      <c r="J50" s="149"/>
      <c r="K50" s="172" t="e">
        <f>IF(I50&lt;Standards_Data!M$18,"pass",IF(OR(H50&gt;Standards_Data!M$17,H50="undetermined"),"inhb","comp"))</f>
        <v>#DIV/0!</v>
      </c>
      <c r="L50" s="55" t="e">
        <f t="shared" si="1"/>
        <v>#DIV/0!</v>
      </c>
      <c r="M50" s="54" t="e">
        <f>IF(OR(COUNT(L49:L51)=0,Standards_Data!M$5&gt;Standards_Data!M$23)," ",IF(SUM(L49:L51) &gt;=2,"pass","fail"))</f>
        <v>#DIV/0!</v>
      </c>
      <c r="N50" s="56">
        <f>IF(H50="undetermined",0,IF(H50&gt;=Standards_Data!M$25,0,1))</f>
        <v>0</v>
      </c>
      <c r="O50" s="34" t="e">
        <f>IF(H50="undetermined","ND",IF(H50&gt;Standards_Data!M$22,"fail","pass"))</f>
        <v>#DIV/0!</v>
      </c>
      <c r="P50" s="54"/>
      <c r="Q50" s="54"/>
      <c r="R50" s="54"/>
      <c r="S50" s="57" t="e">
        <f>IF(AND(P49&gt;(Sketa22_Data!O$4+3*Sketa22_Data!O$5), P49&lt;= (Sketa22_Data!O$4+3.3)),P49-(Sketa22_Data!O$4+3*Sketa22_Data!O$5)," ")</f>
        <v>#DIV/0!</v>
      </c>
      <c r="T50" s="54" t="e">
        <f>IF(AND(P49&gt;(Sketa22_Data!O$4+3*Sketa22_Data!O$5), P49&lt;= (Sketa22_Data!O$4+3.3)),"pass"," ")</f>
        <v>#DIV/0!</v>
      </c>
      <c r="U50" s="54" t="e">
        <f>IF(AND(Sketa22_Data!O$5 &lt;0.62,OR(Q49="pass",T49="pass")),"pass"," ")</f>
        <v>#DIV/0!</v>
      </c>
      <c r="V50" s="54" t="e">
        <f>IF(AND(L50=1,M50="pass",O50="pass",U50="pass",Standards_Data!M$20="pass",Standards_Data!M$21="pass",Standards_Data!M$6="pass",Standards_Data!H$30="pass",Sketa22_Data!G$18="pass"),"pass","fail")</f>
        <v>#DIV/0!</v>
      </c>
      <c r="W50" s="122" t="e">
        <f t="shared" si="2"/>
        <v>#DIV/0!</v>
      </c>
      <c r="X50" s="122"/>
      <c r="Y50" s="122"/>
      <c r="Z50" s="122"/>
      <c r="AA50" s="34"/>
      <c r="AC50" s="65" t="s">
        <v>4</v>
      </c>
      <c r="AD50" s="66" t="e">
        <f>IF(COUNTBLANK(W49:W57) =9,0,DEVSQ(W49:W57))</f>
        <v>#DIV/0!</v>
      </c>
      <c r="AE50" s="67">
        <f>COUNT(W49:W57)-1</f>
        <v>-1</v>
      </c>
      <c r="AF50" s="66" t="e">
        <f>AD50/AE50</f>
        <v>#DIV/0!</v>
      </c>
      <c r="AG50" s="68" t="e">
        <f>IF((AG52 &lt;0),0,AG52) +    IF( (AG51 &lt;0),0,AG51)</f>
        <v>#DIV/0!</v>
      </c>
      <c r="AI50" s="53" t="s">
        <v>23</v>
      </c>
      <c r="AJ50" s="61">
        <f>IF(COUNT(W49:W57) &lt;=3,0,   IF(AG51 &gt;0,SQRT((AG52/(AE50+1))+(AG51*(COUNT(W49:W51)^2+COUNT(W52:W54)^2+COUNT(W55:W57)^2)/(AE50+1)^2)), STDEV(W49:W57)/SQRT(COUNT(W49:W57)  ) ))</f>
        <v>0</v>
      </c>
    </row>
    <row r="51" spans="1:36" x14ac:dyDescent="0.25">
      <c r="A51" s="34">
        <v>1</v>
      </c>
      <c r="B51" s="34">
        <v>1</v>
      </c>
      <c r="C51" s="2"/>
      <c r="D51" s="96">
        <v>6</v>
      </c>
      <c r="E51" s="5"/>
      <c r="F51" s="98">
        <v>1</v>
      </c>
      <c r="G51" s="99">
        <v>16</v>
      </c>
      <c r="H51" s="148"/>
      <c r="I51" s="148"/>
      <c r="J51" s="149"/>
      <c r="K51" s="172" t="e">
        <f>IF(I51&lt;Standards_Data!M$18,"pass",IF(OR(H51&gt;Standards_Data!M$17,H51="undetermined"),"inhb","comp"))</f>
        <v>#DIV/0!</v>
      </c>
      <c r="L51" s="55" t="e">
        <f t="shared" si="1"/>
        <v>#DIV/0!</v>
      </c>
      <c r="M51" s="54" t="e">
        <f>IF(OR(COUNT(L49:L51)=0,Standards_Data!M$5&gt;Standards_Data!M$23)," ",IF(SUM(L49:L51) &gt;=2,"pass","fail"))</f>
        <v>#DIV/0!</v>
      </c>
      <c r="N51" s="56">
        <f>IF(H51="undetermined",0,IF(H51&gt;=Standards_Data!M$25,0,1))</f>
        <v>0</v>
      </c>
      <c r="O51" s="34" t="e">
        <f>IF(H51="undetermined","ND",IF(H51&gt;Standards_Data!M$22,"fail","pass"))</f>
        <v>#DIV/0!</v>
      </c>
      <c r="P51" s="54"/>
      <c r="Q51" s="54"/>
      <c r="R51" s="54"/>
      <c r="S51" s="57" t="e">
        <f>IF(AND(P49&gt;(Sketa22_Data!O$4+3*Sketa22_Data!O$5), P49&lt;= (Sketa22_Data!O$4+3.3)),P49-(Sketa22_Data!O$4+3*Sketa22_Data!O$5)," ")</f>
        <v>#DIV/0!</v>
      </c>
      <c r="T51" s="54" t="e">
        <f>IF(AND(P49&gt;(Sketa22_Data!O$4+3*Sketa22_Data!O$5), P49&lt;= (Sketa22_Data!O$4+3.3)),"pass"," ")</f>
        <v>#DIV/0!</v>
      </c>
      <c r="U51" s="54" t="e">
        <f>IF(AND(Sketa22_Data!O$5 &lt;0.62,OR(Q49="pass",T49="pass")),"pass"," ")</f>
        <v>#DIV/0!</v>
      </c>
      <c r="V51" s="54" t="e">
        <f>IF(AND(L51=1,M51="pass",O51="pass",U51="pass",Standards_Data!M$20="pass",Standards_Data!M$21="pass",Standards_Data!M$6="pass",Standards_Data!H$30="pass",Sketa22_Data!G$18="pass"),"pass","fail")</f>
        <v>#DIV/0!</v>
      </c>
      <c r="W51" s="122" t="e">
        <f t="shared" si="2"/>
        <v>#DIV/0!</v>
      </c>
      <c r="X51" s="122"/>
      <c r="Y51" s="122"/>
      <c r="Z51" s="122"/>
      <c r="AA51" s="34"/>
      <c r="AC51" s="65" t="s">
        <v>6</v>
      </c>
      <c r="AD51" s="66" t="e">
        <f>AD50-(AD52)</f>
        <v>#DIV/0!</v>
      </c>
      <c r="AE51" s="67">
        <f>AE50 - AE52</f>
        <v>2</v>
      </c>
      <c r="AF51" s="66" t="e">
        <f>AD51/AE51</f>
        <v>#DIV/0!</v>
      </c>
      <c r="AG51" s="66" t="e">
        <f>(AF51-AF52)/(((COUNT(  W49:W51)+COUNT(  W52:W54)+COUNT(  W55:W57))-(COUNT(  W49:W51)^2+COUNT(  W52:W54)^2+COUNT(  W55:W57)^2)/(COUNT(  W49:W51)+COUNT(  W52:W54)+COUNT(  W55:W57)))/((IF(COUNTBLANK(  W49:W51)=3,0,1))+(IF(COUNTBLANK(  W52:W54)=3,0,1))+(IF(COUNTBLANK(  W55:W57)=3,0,1))-1))</f>
        <v>#DIV/0!</v>
      </c>
      <c r="AJ51" s="61"/>
    </row>
    <row r="52" spans="1:36" x14ac:dyDescent="0.25">
      <c r="A52" s="34">
        <v>1</v>
      </c>
      <c r="B52" s="34">
        <v>1</v>
      </c>
      <c r="C52" s="2"/>
      <c r="D52" s="96">
        <v>6</v>
      </c>
      <c r="E52" s="5"/>
      <c r="F52" s="98">
        <v>2</v>
      </c>
      <c r="G52" s="99">
        <v>17</v>
      </c>
      <c r="H52" s="148"/>
      <c r="I52" s="148"/>
      <c r="J52" s="149"/>
      <c r="K52" s="172" t="e">
        <f>IF(I52&lt;Standards_Data!M$18,"pass",IF(OR(H52&gt;Standards_Data!M$17,H52="undetermined"),"inhb","comp"))</f>
        <v>#DIV/0!</v>
      </c>
      <c r="L52" s="55" t="e">
        <f t="shared" si="1"/>
        <v>#DIV/0!</v>
      </c>
      <c r="M52" s="54" t="e">
        <f>IF(OR(COUNT(L52:L54)=0,Standards_Data!M$5&gt;Standards_Data!M$23)," ",IF(SUM(L52:L54) &gt;=2,"pass","fail"))</f>
        <v>#DIV/0!</v>
      </c>
      <c r="N52" s="56">
        <f>IF(H52="undetermined",0,IF(H52&gt;=Standards_Data!M$25,0,1))</f>
        <v>0</v>
      </c>
      <c r="O52" s="34" t="e">
        <f>IF(H52="undetermined","ND",IF(H52&gt;Standards_Data!M$22,"fail","pass"))</f>
        <v>#DIV/0!</v>
      </c>
      <c r="P52" s="57" t="str">
        <f>IF(COUNT(J52:J54)=0," ",AVERAGE(J52:J54))</f>
        <v xml:space="preserve"> </v>
      </c>
      <c r="Q52" s="54" t="str">
        <f>IF(P52=" "," ",IF(P52&gt; (Sketa22_Data!O$4+3*Sketa22_Data!O$5),"fail","pass"))</f>
        <v xml:space="preserve"> </v>
      </c>
      <c r="R52" s="54" t="str">
        <f>IF(P52=" "," ",IF(P52&gt; (Sketa22_Data!O$4+3.3),"fail","pass"))</f>
        <v xml:space="preserve"> </v>
      </c>
      <c r="S52" s="57" t="e">
        <f>IF(AND(P52&gt;(Sketa22_Data!O$4+3*Sketa22_Data!O$5), P52&lt;= (Sketa22_Data!O$4+3.3)),P52-(Sketa22_Data!O$4+3*Sketa22_Data!O$5)," ")</f>
        <v>#DIV/0!</v>
      </c>
      <c r="T52" s="54" t="e">
        <f>IF(AND(P52&gt;(Sketa22_Data!O$4+3*Sketa22_Data!O$5), P52&lt;= (Sketa22_Data!O$4+3.3)),"pass"," ")</f>
        <v>#DIV/0!</v>
      </c>
      <c r="U52" s="54" t="e">
        <f>IF(AND(Sketa22_Data!O$5 &lt;0.62,OR(Q52="pass",T52="pass")),"pass"," ")</f>
        <v>#DIV/0!</v>
      </c>
      <c r="V52" s="54" t="e">
        <f>IF(AND(L52=1,M52="pass",O52="pass",U52="pass",Standards_Data!M$20="pass",Standards_Data!M$21="pass",Standards_Data!M$6="pass",Standards_Data!H$30="pass",Sketa22_Data!G$18="pass"),"pass","fail")</f>
        <v>#DIV/0!</v>
      </c>
      <c r="W52" s="122" t="e">
        <f t="shared" si="2"/>
        <v>#DIV/0!</v>
      </c>
      <c r="X52" s="122"/>
      <c r="Y52" s="122"/>
      <c r="Z52" s="122"/>
      <c r="AA52" s="34"/>
      <c r="AC52" s="65" t="s">
        <v>5</v>
      </c>
      <c r="AD52" s="66" t="e">
        <f>IF(COUNTBLANK(  W49:W51)=3,0,DEVSQ(  W49:W51))+IF(COUNTBLANK(  W52:W54)=3,0,DEVSQ(  W52:W54))+IF(COUNTBLANK(  W55:W57)=3,0,DEVSQ(  W55:W57))</f>
        <v>#DIV/0!</v>
      </c>
      <c r="AE52" s="69">
        <f>IF(COUNTBLANK(  W49:W51)=3,0,COUNT(  W49:W51)-1)+IF(COUNTBLANK(  W52:W54)=3,0,COUNT(  W52:W54)-1)+IF(COUNTBLANK(  W55:W57)=3,0,COUNT(  W55:W57)-1)</f>
        <v>-3</v>
      </c>
      <c r="AF52" s="66" t="e">
        <f>AD52/AE52</f>
        <v>#DIV/0!</v>
      </c>
      <c r="AG52" s="66" t="e">
        <f>AF52</f>
        <v>#DIV/0!</v>
      </c>
      <c r="AJ52" s="61"/>
    </row>
    <row r="53" spans="1:36" x14ac:dyDescent="0.25">
      <c r="A53" s="34">
        <v>1</v>
      </c>
      <c r="B53" s="34">
        <v>1</v>
      </c>
      <c r="C53" s="2"/>
      <c r="D53" s="96">
        <v>6</v>
      </c>
      <c r="E53" s="5"/>
      <c r="F53" s="98">
        <v>2</v>
      </c>
      <c r="G53" s="99">
        <v>17</v>
      </c>
      <c r="H53" s="148"/>
      <c r="I53" s="148"/>
      <c r="J53" s="149"/>
      <c r="K53" s="172" t="e">
        <f>IF(I53&lt;Standards_Data!M$18,"pass",IF(OR(H53&gt;Standards_Data!M$17,H53="undetermined"),"inhb","comp"))</f>
        <v>#DIV/0!</v>
      </c>
      <c r="L53" s="55" t="e">
        <f t="shared" si="1"/>
        <v>#DIV/0!</v>
      </c>
      <c r="M53" s="54" t="e">
        <f>IF(OR(COUNT(L52:L54)=0,Standards_Data!M$5&gt;Standards_Data!M$23)," ",IF(SUM(L52:L54) &gt;=2,"pass","fail"))</f>
        <v>#DIV/0!</v>
      </c>
      <c r="N53" s="56">
        <f>IF(H53="undetermined",0,IF(H53&gt;=Standards_Data!M$25,0,1))</f>
        <v>0</v>
      </c>
      <c r="O53" s="34" t="e">
        <f>IF(H53="undetermined","ND",IF(H53&gt;Standards_Data!M$22,"fail","pass"))</f>
        <v>#DIV/0!</v>
      </c>
      <c r="P53" s="54"/>
      <c r="Q53" s="54"/>
      <c r="R53" s="54"/>
      <c r="S53" s="57" t="e">
        <f>IF(AND(P52&gt;(Sketa22_Data!O$4+3*Sketa22_Data!O$5), P52&lt;= (Sketa22_Data!O$4+3.3)),P52-(Sketa22_Data!O$4+3*Sketa22_Data!O$5)," ")</f>
        <v>#DIV/0!</v>
      </c>
      <c r="T53" s="54" t="e">
        <f>IF(AND(P52&gt;(Sketa22_Data!O$4+3*Sketa22_Data!O$5), P52&lt;= (Sketa22_Data!O$4+3.3)),"pass"," ")</f>
        <v>#DIV/0!</v>
      </c>
      <c r="U53" s="54" t="e">
        <f>IF(AND(Sketa22_Data!O$5 &lt;0.62,OR(Q52="pass",T52="pass")),"pass"," ")</f>
        <v>#DIV/0!</v>
      </c>
      <c r="V53" s="54" t="e">
        <f>IF(AND(L53=1,M53="pass",O53="pass",U53="pass",Standards_Data!M$20="pass",Standards_Data!M$21="pass",Standards_Data!M$6="pass",Standards_Data!H$30="pass",Sketa22_Data!G$18="pass"),"pass","fail")</f>
        <v>#DIV/0!</v>
      </c>
      <c r="W53" s="122" t="e">
        <f t="shared" si="2"/>
        <v>#DIV/0!</v>
      </c>
      <c r="X53" s="122"/>
      <c r="Y53" s="122"/>
      <c r="Z53" s="122"/>
      <c r="AA53" s="34"/>
      <c r="AJ53" s="61"/>
    </row>
    <row r="54" spans="1:36" x14ac:dyDescent="0.25">
      <c r="A54" s="34">
        <v>1</v>
      </c>
      <c r="B54" s="34">
        <v>1</v>
      </c>
      <c r="C54" s="2"/>
      <c r="D54" s="96">
        <v>6</v>
      </c>
      <c r="E54" s="5"/>
      <c r="F54" s="98">
        <v>2</v>
      </c>
      <c r="G54" s="99">
        <v>17</v>
      </c>
      <c r="H54" s="148"/>
      <c r="I54" s="148"/>
      <c r="J54" s="149"/>
      <c r="K54" s="172" t="e">
        <f>IF(I54&lt;Standards_Data!M$18,"pass",IF(OR(H54&gt;Standards_Data!M$17,H54="undetermined"),"inhb","comp"))</f>
        <v>#DIV/0!</v>
      </c>
      <c r="L54" s="55" t="e">
        <f t="shared" si="1"/>
        <v>#DIV/0!</v>
      </c>
      <c r="M54" s="54" t="e">
        <f>IF(OR(COUNT(L52:L54)=0,Standards_Data!M$5&gt;Standards_Data!M$23)," ",IF(SUM(L52:L54) &gt;=2,"pass","fail"))</f>
        <v>#DIV/0!</v>
      </c>
      <c r="N54" s="56">
        <f>IF(H54="undetermined",0,IF(H54&gt;=Standards_Data!M$25,0,1))</f>
        <v>0</v>
      </c>
      <c r="O54" s="34" t="e">
        <f>IF(H54="undetermined","ND",IF(H54&gt;Standards_Data!M$22,"fail","pass"))</f>
        <v>#DIV/0!</v>
      </c>
      <c r="P54" s="54"/>
      <c r="Q54" s="54"/>
      <c r="R54" s="54"/>
      <c r="S54" s="57" t="e">
        <f>IF(AND(P52&gt;(Sketa22_Data!O$4+3*Sketa22_Data!O$5), P52&lt;= (Sketa22_Data!O$4+3.3)),P52-(Sketa22_Data!O$4+3*Sketa22_Data!O$5)," ")</f>
        <v>#DIV/0!</v>
      </c>
      <c r="T54" s="54" t="e">
        <f>IF(AND(P52&gt;(Sketa22_Data!O$4+3*Sketa22_Data!O$5), P52&lt;= (Sketa22_Data!O$4+3.3)),"pass"," ")</f>
        <v>#DIV/0!</v>
      </c>
      <c r="U54" s="54" t="e">
        <f>IF(AND(Sketa22_Data!O$5 &lt;0.62,OR(Q52="pass",T52="pass")),"pass"," ")</f>
        <v>#DIV/0!</v>
      </c>
      <c r="V54" s="54" t="e">
        <f>IF(AND(L54=1,M54="pass",O54="pass",U54="pass",Standards_Data!M$20="pass",Standards_Data!M$21="pass",Standards_Data!M$6="pass",Standards_Data!H$30="pass",Sketa22_Data!G$18="pass"),"pass","fail")</f>
        <v>#DIV/0!</v>
      </c>
      <c r="W54" s="122" t="e">
        <f t="shared" si="2"/>
        <v>#DIV/0!</v>
      </c>
      <c r="X54" s="122"/>
      <c r="Y54" s="122"/>
      <c r="Z54" s="122"/>
      <c r="AA54" s="34"/>
      <c r="AJ54" s="61"/>
    </row>
    <row r="55" spans="1:36" x14ac:dyDescent="0.25">
      <c r="A55" s="34">
        <v>1</v>
      </c>
      <c r="B55" s="34">
        <v>1</v>
      </c>
      <c r="C55" s="2"/>
      <c r="D55" s="96">
        <v>6</v>
      </c>
      <c r="E55" s="5"/>
      <c r="F55" s="98">
        <v>3</v>
      </c>
      <c r="G55" s="99">
        <v>18</v>
      </c>
      <c r="H55" s="148"/>
      <c r="I55" s="148"/>
      <c r="J55" s="149"/>
      <c r="K55" s="172" t="e">
        <f>IF(I55&lt;Standards_Data!M$18,"pass",IF(OR(H55&gt;Standards_Data!M$17,H55="undetermined"),"inhb","comp"))</f>
        <v>#DIV/0!</v>
      </c>
      <c r="L55" s="55" t="e">
        <f t="shared" si="1"/>
        <v>#DIV/0!</v>
      </c>
      <c r="M55" s="54" t="e">
        <f>IF(OR(COUNT(L55:L57)=0,Standards_Data!M$5&gt;Standards_Data!M$23)," ",IF(SUM(L55:L57) &gt;=2,"pass","fail"))</f>
        <v>#DIV/0!</v>
      </c>
      <c r="N55" s="56">
        <f>IF(H55="undetermined",0,IF(H55&gt;=Standards_Data!M$25,0,1))</f>
        <v>0</v>
      </c>
      <c r="O55" s="34" t="e">
        <f>IF(H55="undetermined","ND",IF(H55&gt;Standards_Data!M$22,"fail","pass"))</f>
        <v>#DIV/0!</v>
      </c>
      <c r="P55" s="57" t="str">
        <f>IF(COUNT(J55:J57)=0," ",AVERAGE(J55:J57))</f>
        <v xml:space="preserve"> </v>
      </c>
      <c r="Q55" s="54" t="str">
        <f>IF(P55=" "," ",IF(P55&gt; (Sketa22_Data!O$4+3*Sketa22_Data!O$5),"fail","pass"))</f>
        <v xml:space="preserve"> </v>
      </c>
      <c r="R55" s="54" t="str">
        <f>IF(P55=" "," ",IF(P55&gt; (Sketa22_Data!O$4+3.3),"fail","pass"))</f>
        <v xml:space="preserve"> </v>
      </c>
      <c r="S55" s="57" t="e">
        <f>IF(AND(P55&gt;(Sketa22_Data!O$4+3*Sketa22_Data!O$5), P55&lt;= (Sketa22_Data!O$4+3.3)),P55-(Sketa22_Data!O$4+3*Sketa22_Data!O$5)," ")</f>
        <v>#DIV/0!</v>
      </c>
      <c r="T55" s="54" t="e">
        <f>IF(AND(P55&gt;(Sketa22_Data!O$4+3*Sketa22_Data!O$5), P55&lt;= (Sketa22_Data!O$4+3.3)),"pass"," ")</f>
        <v>#DIV/0!</v>
      </c>
      <c r="U55" s="54" t="e">
        <f>IF(AND(Sketa22_Data!O$5 &lt;0.62,OR(Q55="pass",T55="pass")),"pass"," ")</f>
        <v>#DIV/0!</v>
      </c>
      <c r="V55" s="54" t="e">
        <f>IF(AND(L55=1,M55="pass",O55="pass",U55="pass",Standards_Data!M$20="pass",Standards_Data!M$21="pass",Standards_Data!M$6="pass",Standards_Data!H$30="pass",Sketa22_Data!G$18="pass"),"pass","fail")</f>
        <v>#DIV/0!</v>
      </c>
      <c r="W55" s="122" t="e">
        <f t="shared" si="2"/>
        <v>#DIV/0!</v>
      </c>
      <c r="X55" s="122"/>
      <c r="Y55" s="122"/>
      <c r="Z55" s="122"/>
      <c r="AA55" s="34"/>
      <c r="AJ55" s="61"/>
    </row>
    <row r="56" spans="1:36" x14ac:dyDescent="0.25">
      <c r="A56" s="34">
        <v>1</v>
      </c>
      <c r="B56" s="34">
        <v>1</v>
      </c>
      <c r="C56" s="2"/>
      <c r="D56" s="96">
        <v>6</v>
      </c>
      <c r="E56" s="5"/>
      <c r="F56" s="98">
        <v>3</v>
      </c>
      <c r="G56" s="99">
        <v>18</v>
      </c>
      <c r="H56" s="148"/>
      <c r="I56" s="148"/>
      <c r="J56" s="149"/>
      <c r="K56" s="172" t="e">
        <f>IF(I56&lt;Standards_Data!M$18,"pass",IF(OR(H56&gt;Standards_Data!M$17,H56="undetermined"),"inhb","comp"))</f>
        <v>#DIV/0!</v>
      </c>
      <c r="L56" s="55" t="e">
        <f t="shared" si="1"/>
        <v>#DIV/0!</v>
      </c>
      <c r="M56" s="54" t="e">
        <f>IF(OR(COUNT(L55:L57)=0,Standards_Data!M$5&gt;Standards_Data!M$23)," ",IF(SUM(L55:L57) &gt;=2,"pass","fail"))</f>
        <v>#DIV/0!</v>
      </c>
      <c r="N56" s="56">
        <f>IF(H56="undetermined",0,IF(H56&gt;=Standards_Data!M$25,0,1))</f>
        <v>0</v>
      </c>
      <c r="O56" s="34" t="e">
        <f>IF(H56="undetermined","ND",IF(H56&gt;Standards_Data!M$22,"fail","pass"))</f>
        <v>#DIV/0!</v>
      </c>
      <c r="P56" s="54"/>
      <c r="Q56" s="54"/>
      <c r="R56" s="54"/>
      <c r="S56" s="57" t="e">
        <f>IF(AND(P55&gt;(Sketa22_Data!O$4+3*Sketa22_Data!O$5), P55&lt;= (Sketa22_Data!O$4+3.3)),P55-(Sketa22_Data!O$4+3*Sketa22_Data!O$5)," ")</f>
        <v>#DIV/0!</v>
      </c>
      <c r="T56" s="54" t="e">
        <f>IF(AND(P55&gt;(Sketa22_Data!O$4+3*Sketa22_Data!O$5), P55&lt;= (Sketa22_Data!O$4+3.3)),"pass"," ")</f>
        <v>#DIV/0!</v>
      </c>
      <c r="U56" s="54" t="e">
        <f>IF(AND(Sketa22_Data!O$5 &lt;0.62,OR(Q52="pass",T52="pass")),"pass"," ")</f>
        <v>#DIV/0!</v>
      </c>
      <c r="V56" s="54" t="e">
        <f>IF(AND(L56=1,M56="pass",O56="pass",U56="pass",Standards_Data!M$20="pass",Standards_Data!M$21="pass",Standards_Data!M$6="pass",Standards_Data!H$30="pass",Sketa22_Data!G$18="pass"),"pass","fail")</f>
        <v>#DIV/0!</v>
      </c>
      <c r="W56" s="122" t="e">
        <f t="shared" si="2"/>
        <v>#DIV/0!</v>
      </c>
      <c r="X56" s="122"/>
      <c r="Y56" s="122"/>
      <c r="Z56" s="122"/>
      <c r="AA56" s="34"/>
      <c r="AJ56" s="61"/>
    </row>
    <row r="57" spans="1:36" ht="15.75" thickBot="1" x14ac:dyDescent="0.3">
      <c r="A57" s="109">
        <v>1</v>
      </c>
      <c r="B57" s="109">
        <v>1</v>
      </c>
      <c r="C57" s="156"/>
      <c r="D57" s="105">
        <v>6</v>
      </c>
      <c r="E57" s="106"/>
      <c r="F57" s="107">
        <v>3</v>
      </c>
      <c r="G57" s="108">
        <v>18</v>
      </c>
      <c r="H57" s="150"/>
      <c r="I57" s="150"/>
      <c r="J57" s="151"/>
      <c r="K57" s="109" t="e">
        <f>IF(I57&lt;Standards_Data!M$18,"pass",IF(OR(H57&gt;Standards_Data!M$17,H57="undetermined"),"inhb","comp"))</f>
        <v>#DIV/0!</v>
      </c>
      <c r="L57" s="110" t="e">
        <f t="shared" si="1"/>
        <v>#DIV/0!</v>
      </c>
      <c r="M57" s="109" t="e">
        <f>IF(OR(COUNT(L55:L57)=0,Standards_Data!M$5&gt;Standards_Data!M$23)," ",IF(SUM(L55:L57) &gt;=2,"pass","fail"))</f>
        <v>#DIV/0!</v>
      </c>
      <c r="N57" s="182">
        <f>IF(H57="undetermined",0,IF(H57&gt;=Standards_Data!M$25,0,1))</f>
        <v>0</v>
      </c>
      <c r="O57" s="109" t="e">
        <f>IF(H57="undetermined","ND",IF(H57&gt;Standards_Data!M$22,"fail","pass"))</f>
        <v>#DIV/0!</v>
      </c>
      <c r="P57" s="109"/>
      <c r="Q57" s="109"/>
      <c r="R57" s="109"/>
      <c r="S57" s="111" t="e">
        <f>IF(AND(P55&gt;(Sketa22_Data!O$4+3*Sketa22_Data!O$5), P55&lt;= (Sketa22_Data!O$4+3.3)),P55-(Sketa22_Data!O$4+3*Sketa22_Data!O$5)," ")</f>
        <v>#DIV/0!</v>
      </c>
      <c r="T57" s="109" t="e">
        <f>IF(AND(P55&gt;(Sketa22_Data!O$4+3*Sketa22_Data!O$5), P55&lt;= (Sketa22_Data!O$4+3.3)),"pass"," ")</f>
        <v>#DIV/0!</v>
      </c>
      <c r="U57" s="109" t="e">
        <f>IF(AND(Sketa22_Data!O$5 &lt;0.62,OR(Q52="pass",T52="pass")),"pass"," ")</f>
        <v>#DIV/0!</v>
      </c>
      <c r="V57" s="109" t="e">
        <f>IF(AND(L57=1,M57="pass",O57="pass",U57="pass",Standards_Data!M$20="pass",Standards_Data!M$21="pass",Standards_Data!M$6="pass",Standards_Data!H$30="pass",Sketa22_Data!G$18="pass"),"pass","fail")</f>
        <v>#DIV/0!</v>
      </c>
      <c r="W57" s="123" t="e">
        <f t="shared" si="2"/>
        <v>#DIV/0!</v>
      </c>
      <c r="X57" s="123"/>
      <c r="Y57" s="123"/>
      <c r="Z57" s="123"/>
      <c r="AA57" s="109"/>
      <c r="AB57" s="112"/>
      <c r="AC57" s="113"/>
      <c r="AD57" s="114"/>
      <c r="AE57" s="114"/>
      <c r="AF57" s="114"/>
      <c r="AG57" s="114"/>
      <c r="AH57" s="115"/>
      <c r="AI57" s="116"/>
      <c r="AJ57" s="117"/>
    </row>
    <row r="58" spans="1:36" x14ac:dyDescent="0.25">
      <c r="A58" s="34">
        <v>1</v>
      </c>
      <c r="B58" s="34">
        <v>1</v>
      </c>
      <c r="C58" s="2"/>
      <c r="D58" s="101">
        <v>7</v>
      </c>
      <c r="E58" s="102"/>
      <c r="F58" s="103">
        <v>1</v>
      </c>
      <c r="G58" s="99">
        <v>19</v>
      </c>
      <c r="H58" s="152"/>
      <c r="I58" s="152"/>
      <c r="J58" s="153"/>
      <c r="K58" s="172" t="e">
        <f>IF(I58&lt;Standards_Data!M$18,"pass",IF(OR(H58&gt;Standards_Data!M$17,H58="undetermined"),"inhb","comp"))</f>
        <v>#DIV/0!</v>
      </c>
      <c r="L58" s="55" t="e">
        <f t="shared" si="1"/>
        <v>#DIV/0!</v>
      </c>
      <c r="M58" s="54" t="e">
        <f>IF(OR(COUNT(L58:L60)=0,Standards_Data!M$5&gt;Standards_Data!M$23)," ",IF(SUM(L58:L60) &gt;=2,"pass","fail"))</f>
        <v>#DIV/0!</v>
      </c>
      <c r="N58" s="56">
        <f>IF(H58="undetermined",0,IF(H58&gt;=Standards_Data!M$25,0,1))</f>
        <v>0</v>
      </c>
      <c r="O58" s="34" t="e">
        <f>IF(H58="undetermined","ND",IF(H58&gt;Standards_Data!M$22,"fail","pass"))</f>
        <v>#DIV/0!</v>
      </c>
      <c r="P58" s="57" t="str">
        <f>IF(COUNT(J58:J60)=0," ",AVERAGE(J58:J60))</f>
        <v xml:space="preserve"> </v>
      </c>
      <c r="Q58" s="54" t="str">
        <f>IF(P58=" "," ",IF(P58&gt; (Sketa22_Data!O$4+3*Sketa22_Data!O$5),"fail","pass"))</f>
        <v xml:space="preserve"> </v>
      </c>
      <c r="R58" s="54" t="str">
        <f>IF(P58=" "," ",IF(P58&gt; (Sketa22_Data!O$4+3.3),"fail","pass"))</f>
        <v xml:space="preserve"> </v>
      </c>
      <c r="S58" s="57" t="e">
        <f>IF(AND(P58&gt;(Sketa22_Data!O$4+3*Sketa22_Data!O$5), P58&lt;= (Sketa22_Data!O$4+3.3)),P58-(Sketa22_Data!O$4+3*Sketa22_Data!O$5)," ")</f>
        <v>#DIV/0!</v>
      </c>
      <c r="T58" s="54" t="e">
        <f>IF(AND(P58&gt;(Sketa22_Data!O$4+3*Sketa22_Data!O$5), P58&lt;= (Sketa22_Data!O$4+3.3)),"pass"," ")</f>
        <v>#DIV/0!</v>
      </c>
      <c r="U58" s="54" t="e">
        <f>IF(AND(Sketa22_Data!O$5 &lt;0.62,OR(Q58="pass",T58="pass")),"pass"," ")</f>
        <v>#DIV/0!</v>
      </c>
      <c r="V58" s="54" t="e">
        <f>IF(AND(L58=1,M58="pass",O58="pass",U58="pass",Standards_Data!M$20="pass",Standards_Data!M$21="pass",Standards_Data!M$6="pass",Standards_Data!H$30="pass",Sketa22_Data!G$18="pass"),"pass","fail")</f>
        <v>#DIV/0!</v>
      </c>
      <c r="W58" s="122" t="e">
        <f t="shared" si="2"/>
        <v>#DIV/0!</v>
      </c>
      <c r="X58" s="124" t="str">
        <f>IF(COUNT(W58:W66)=0,  " ",AVERAGE(W58:W66))</f>
        <v xml:space="preserve"> </v>
      </c>
      <c r="Y58" s="124" t="str">
        <f>IF( X58=" ", " ",(X58-Standards_Data!M$11)/Standards_Data!M$7)</f>
        <v xml:space="preserve"> </v>
      </c>
      <c r="Z58" s="124" t="str">
        <f>IF(Y58=" "," ",SQRT((1/Standards_Data!$M$7^2)*(Standards_Data!$M$12^2+AJ59^2+ (-2*(X58-Standards_Data!$M$11)*SUMSQ(Standards_Data!$AG$10:$AG$24)*AVERAGE(Standards_Data!$AE$10:$AE$24)/(DEVSQ(Standards_Data!$AE$10:$AE$24)*(COUNT(Standards_Data!$AG$10:$AG$24)-2)*Standards_Data!$M$7))+ ((X58-Standards_Data!$M$11)^2*Standards_Data!$M$8^2/(Standards_Data!$M$7^2)))))</f>
        <v xml:space="preserve"> </v>
      </c>
      <c r="AA58" s="104">
        <f>COUNT(W58:W66)</f>
        <v>0</v>
      </c>
      <c r="AD58" s="59" t="s">
        <v>0</v>
      </c>
      <c r="AE58" s="59" t="s">
        <v>1</v>
      </c>
      <c r="AF58" s="59" t="s">
        <v>2</v>
      </c>
      <c r="AG58" s="59" t="s">
        <v>3</v>
      </c>
      <c r="AI58" s="60" t="s">
        <v>95</v>
      </c>
      <c r="AJ58" s="61" t="e">
        <f>AVERAGE(W58:W66)</f>
        <v>#DIV/0!</v>
      </c>
    </row>
    <row r="59" spans="1:36" x14ac:dyDescent="0.25">
      <c r="A59" s="34">
        <v>1</v>
      </c>
      <c r="B59" s="34">
        <v>1</v>
      </c>
      <c r="C59" s="2"/>
      <c r="D59" s="96">
        <v>7</v>
      </c>
      <c r="E59" s="5"/>
      <c r="F59" s="98">
        <v>1</v>
      </c>
      <c r="G59" s="99">
        <v>19</v>
      </c>
      <c r="H59" s="148"/>
      <c r="I59" s="148"/>
      <c r="J59" s="149"/>
      <c r="K59" s="172" t="e">
        <f>IF(I59&lt;Standards_Data!M$18,"pass",IF(OR(H59&gt;Standards_Data!M$17,H59="undetermined"),"inhb","comp"))</f>
        <v>#DIV/0!</v>
      </c>
      <c r="L59" s="55" t="e">
        <f t="shared" si="1"/>
        <v>#DIV/0!</v>
      </c>
      <c r="M59" s="54" t="e">
        <f>IF(OR(COUNT(L58:L60)=0,Standards_Data!M$5&gt;Standards_Data!M$23)," ",IF(SUM(L58:L60) &gt;=2,"pass","fail"))</f>
        <v>#DIV/0!</v>
      </c>
      <c r="N59" s="56">
        <f>IF(H59="undetermined",0,IF(H59&gt;=Standards_Data!M$25,0,1))</f>
        <v>0</v>
      </c>
      <c r="O59" s="34" t="e">
        <f>IF(H59="undetermined","ND",IF(H59&gt;Standards_Data!M$22,"fail","pass"))</f>
        <v>#DIV/0!</v>
      </c>
      <c r="P59" s="54"/>
      <c r="Q59" s="54"/>
      <c r="R59" s="54"/>
      <c r="S59" s="57" t="e">
        <f>IF(AND(P58&gt;(Sketa22_Data!O$4+3*Sketa22_Data!O$5), P58&lt;= (Sketa22_Data!O$4+3.3)),P58-(Sketa22_Data!O$4+3*Sketa22_Data!O$5)," ")</f>
        <v>#DIV/0!</v>
      </c>
      <c r="T59" s="54" t="e">
        <f>IF(AND(P58&gt;(Sketa22_Data!O$4+3*Sketa22_Data!O$5), P58&lt;= (Sketa22_Data!O$4+3.3)),"pass"," ")</f>
        <v>#DIV/0!</v>
      </c>
      <c r="U59" s="54" t="e">
        <f>IF(AND(Sketa22_Data!O$5 &lt;0.62,OR(Q58="pass",T58="pass")),"pass"," ")</f>
        <v>#DIV/0!</v>
      </c>
      <c r="V59" s="54" t="e">
        <f>IF(AND(L59=1,M59="pass",O59="pass",U59="pass",Standards_Data!M$20="pass",Standards_Data!M$21="pass",Standards_Data!M$6="pass",Standards_Data!H$30="pass",Sketa22_Data!G$18="pass"),"pass","fail")</f>
        <v>#DIV/0!</v>
      </c>
      <c r="W59" s="122" t="e">
        <f t="shared" si="2"/>
        <v>#DIV/0!</v>
      </c>
      <c r="X59" s="122"/>
      <c r="Y59" s="122"/>
      <c r="Z59" s="122"/>
      <c r="AA59" s="70"/>
      <c r="AC59" s="65" t="s">
        <v>4</v>
      </c>
      <c r="AD59" s="66" t="e">
        <f>IF(COUNTBLANK(W58:W66) =9,0,DEVSQ(W58:W66))</f>
        <v>#DIV/0!</v>
      </c>
      <c r="AE59" s="67">
        <f>COUNT(W58:W66)-1</f>
        <v>-1</v>
      </c>
      <c r="AF59" s="66" t="e">
        <f>AD59/AE59</f>
        <v>#DIV/0!</v>
      </c>
      <c r="AG59" s="68" t="e">
        <f>IF((AG61 &lt;0),0,AG61) +    IF( (AG60 &lt;0),0,AG60)</f>
        <v>#DIV/0!</v>
      </c>
      <c r="AI59" s="53" t="s">
        <v>23</v>
      </c>
      <c r="AJ59" s="61">
        <f>IF(COUNT(W58:W66) &lt;=3,0,   IF(AG60 &gt;0,SQRT((AG61/(AE59+1))+(AG60*(COUNT(W58:W60)^2+COUNT(W61:W63)^2+COUNT(W64:W66)^2)/(AE59+1)^2)), STDEV(W58:W66)/SQRT(COUNT(W58:W66)  ) ))</f>
        <v>0</v>
      </c>
    </row>
    <row r="60" spans="1:36" x14ac:dyDescent="0.25">
      <c r="A60" s="34">
        <v>1</v>
      </c>
      <c r="B60" s="34">
        <v>1</v>
      </c>
      <c r="C60" s="2"/>
      <c r="D60" s="96">
        <v>7</v>
      </c>
      <c r="E60" s="5"/>
      <c r="F60" s="98">
        <v>1</v>
      </c>
      <c r="G60" s="99">
        <v>19</v>
      </c>
      <c r="H60" s="148"/>
      <c r="I60" s="148"/>
      <c r="J60" s="149"/>
      <c r="K60" s="172" t="e">
        <f>IF(I60&lt;Standards_Data!M$18,"pass",IF(OR(H60&gt;Standards_Data!M$17,H60="undetermined"),"inhb","comp"))</f>
        <v>#DIV/0!</v>
      </c>
      <c r="L60" s="55" t="e">
        <f t="shared" si="1"/>
        <v>#DIV/0!</v>
      </c>
      <c r="M60" s="54" t="e">
        <f>IF(OR(COUNT(L58:L60)=0,Standards_Data!M$5&gt;1.16)," ",IF(SUM(L58:L60) &gt;=2,"pass","fail"))</f>
        <v>#DIV/0!</v>
      </c>
      <c r="N60" s="56">
        <f>IF(H60="undetermined",0,IF(H60&gt;=Standards_Data!M$25,0,1))</f>
        <v>0</v>
      </c>
      <c r="O60" s="34" t="e">
        <f>IF(H60="undetermined","ND",IF(H60&gt;Standards_Data!M$22,"fail","pass"))</f>
        <v>#DIV/0!</v>
      </c>
      <c r="P60" s="54"/>
      <c r="Q60" s="54"/>
      <c r="R60" s="54"/>
      <c r="S60" s="57" t="e">
        <f>IF(AND(P58&gt;(Sketa22_Data!O$4+3*Sketa22_Data!O$5), P58&lt;= (Sketa22_Data!O$4+3.3)),P58-(Sketa22_Data!O$4+3*Sketa22_Data!O$5)," ")</f>
        <v>#DIV/0!</v>
      </c>
      <c r="T60" s="54" t="e">
        <f>IF(AND(P58&gt;(Sketa22_Data!O$4+3*Sketa22_Data!O$5), P58&lt;= (Sketa22_Data!O$4+3.3)),"pass"," ")</f>
        <v>#DIV/0!</v>
      </c>
      <c r="U60" s="54" t="e">
        <f>IF(AND(Sketa22_Data!O$5 &lt;0.62,OR(Q58="pass",T58="pass")),"pass"," ")</f>
        <v>#DIV/0!</v>
      </c>
      <c r="V60" s="54" t="e">
        <f>IF(AND(L60=1,M60="pass",O60="pass",U60="pass",Standards_Data!M$20="pass",Standards_Data!M$21="pass",Standards_Data!M$6="pass",Standards_Data!H$30="pass",Sketa22_Data!G$18="pass"),"pass","fail")</f>
        <v>#DIV/0!</v>
      </c>
      <c r="W60" s="122" t="e">
        <f t="shared" si="2"/>
        <v>#DIV/0!</v>
      </c>
      <c r="X60" s="122"/>
      <c r="Y60" s="122"/>
      <c r="Z60" s="122"/>
      <c r="AA60" s="70"/>
      <c r="AC60" s="65" t="s">
        <v>6</v>
      </c>
      <c r="AD60" s="66" t="e">
        <f>AD59-(AD61)</f>
        <v>#DIV/0!</v>
      </c>
      <c r="AE60" s="67">
        <f>AE59 - AE61</f>
        <v>2</v>
      </c>
      <c r="AF60" s="66" t="e">
        <f>AD60/AE60</f>
        <v>#DIV/0!</v>
      </c>
      <c r="AG60" s="66" t="e">
        <f>(AF60-AF61)/(((COUNT(  W58:W60)+COUNT(  W61:W63)+COUNT(  W64:W66))-(COUNT(  W58:W60)^2+COUNT(  W61:W63)^2+COUNT(  W64:W66)^2)/(COUNT(  W58:W60)+COUNT(  W61:W63)+COUNT(  W64:W66)))/((IF(COUNTBLANK(  W58:W60)=3,0,1))+(IF(COUNTBLANK(  W61:W63)=3,0,1))+(IF(COUNTBLANK(  W64:W66)=3,0,1))-1))</f>
        <v>#DIV/0!</v>
      </c>
    </row>
    <row r="61" spans="1:36" x14ac:dyDescent="0.25">
      <c r="A61" s="34">
        <v>1</v>
      </c>
      <c r="B61" s="34">
        <v>1</v>
      </c>
      <c r="C61" s="2"/>
      <c r="D61" s="96">
        <v>7</v>
      </c>
      <c r="E61" s="5"/>
      <c r="F61" s="98">
        <v>2</v>
      </c>
      <c r="G61" s="99">
        <v>20</v>
      </c>
      <c r="H61" s="148"/>
      <c r="I61" s="148"/>
      <c r="J61" s="149"/>
      <c r="K61" s="172" t="e">
        <f>IF(I61&lt;Standards_Data!M$18,"pass",IF(OR(H61&gt;Standards_Data!M$17,H61="undetermined"),"inhb","comp"))</f>
        <v>#DIV/0!</v>
      </c>
      <c r="L61" s="55" t="e">
        <f t="shared" si="1"/>
        <v>#DIV/0!</v>
      </c>
      <c r="M61" s="54" t="e">
        <f>IF(OR(COUNT(L61:L63)=0,Standards_Data!M$5&gt;Standards_Data!M$23)," ",IF(SUM(L61:L63) &gt;=2,"pass","fail"))</f>
        <v>#DIV/0!</v>
      </c>
      <c r="N61" s="56">
        <f>IF(H61="undetermined",0,IF(H61&gt;=Standards_Data!M$25,0,1))</f>
        <v>0</v>
      </c>
      <c r="O61" s="34" t="e">
        <f>IF(H61="undetermined","ND",IF(H61&gt;Standards_Data!M$22,"fail","pass"))</f>
        <v>#DIV/0!</v>
      </c>
      <c r="P61" s="57" t="str">
        <f>IF(COUNT(J61:J63)=0," ",AVERAGE(J61:J63))</f>
        <v xml:space="preserve"> </v>
      </c>
      <c r="Q61" s="54" t="str">
        <f>IF(P61=" "," ",IF(P61&gt; (Sketa22_Data!O$4+3*Sketa22_Data!O$5),"fail","pass"))</f>
        <v xml:space="preserve"> </v>
      </c>
      <c r="R61" s="54" t="str">
        <f>IF(P61=" "," ",IF(P61&gt; (Sketa22_Data!O$4+3.3),"fail","pass"))</f>
        <v xml:space="preserve"> </v>
      </c>
      <c r="S61" s="57" t="e">
        <f>IF(AND(P61&gt;(Sketa22_Data!O$4+3*Sketa22_Data!O$5), P61&lt;= (Sketa22_Data!O$4+3.3)),P61-(Sketa22_Data!O$4+3*Sketa22_Data!O$5)," ")</f>
        <v>#DIV/0!</v>
      </c>
      <c r="T61" s="54" t="e">
        <f>IF(AND(P61&gt;(Sketa22_Data!O$4+3*Sketa22_Data!O$5), P61&lt;= (Sketa22_Data!O$4+3.3)),"pass"," ")</f>
        <v>#DIV/0!</v>
      </c>
      <c r="U61" s="54" t="e">
        <f>IF(AND(Sketa22_Data!O$5 &lt;0.62,OR(Q61="pass",T61="pass")),"pass"," ")</f>
        <v>#DIV/0!</v>
      </c>
      <c r="V61" s="54" t="e">
        <f>IF(AND(L61=1,M61="pass",O61="pass",U61="pass",Standards_Data!M$20="pass",Standards_Data!M$21="pass",Standards_Data!M$6="pass",Standards_Data!H$30="pass",Sketa22_Data!G$18="pass"),"pass","fail")</f>
        <v>#DIV/0!</v>
      </c>
      <c r="W61" s="122" t="e">
        <f t="shared" ref="W61:W66" si="3">IF(V61="fail","",IF(T61="pass",H61-S61,H61))</f>
        <v>#DIV/0!</v>
      </c>
      <c r="X61" s="122"/>
      <c r="Y61" s="122"/>
      <c r="Z61" s="122"/>
      <c r="AA61" s="70"/>
      <c r="AC61" s="65" t="s">
        <v>5</v>
      </c>
      <c r="AD61" s="66" t="e">
        <f>IF(COUNTBLANK(  W58:W60)=3,0,DEVSQ(  W58:W60))+IF(COUNTBLANK(  W61:W63)=3,0,DEVSQ(  W61:W63))+IF(COUNTBLANK(  W64:W66)=3,0,DEVSQ(  W64:W66))</f>
        <v>#DIV/0!</v>
      </c>
      <c r="AE61" s="69">
        <f>IF(COUNTBLANK(  W58:W60)=3,0,COUNT(  W58:W60)-1)+IF(COUNTBLANK(  W61:W63)=3,0,COUNT(  W61:W63)-1)+IF(COUNTBLANK(  W64:W66)=3,0,COUNT(  W64:W66)-1)</f>
        <v>-3</v>
      </c>
      <c r="AF61" s="66" t="e">
        <f>AD61/AE61</f>
        <v>#DIV/0!</v>
      </c>
      <c r="AG61" s="66" t="e">
        <f>AF61</f>
        <v>#DIV/0!</v>
      </c>
    </row>
    <row r="62" spans="1:36" x14ac:dyDescent="0.25">
      <c r="A62" s="34">
        <v>1</v>
      </c>
      <c r="B62" s="34">
        <v>1</v>
      </c>
      <c r="C62" s="2"/>
      <c r="D62" s="96">
        <v>7</v>
      </c>
      <c r="E62" s="5"/>
      <c r="F62" s="98">
        <v>2</v>
      </c>
      <c r="G62" s="99">
        <v>20</v>
      </c>
      <c r="H62" s="148"/>
      <c r="I62" s="148"/>
      <c r="J62" s="149"/>
      <c r="K62" s="172" t="e">
        <f>IF(I62&lt;Standards_Data!M$18,"pass",IF(OR(H62&gt;Standards_Data!M$17,H62="undetermined"),"inhb","comp"))</f>
        <v>#DIV/0!</v>
      </c>
      <c r="L62" s="55" t="e">
        <f t="shared" si="1"/>
        <v>#DIV/0!</v>
      </c>
      <c r="M62" s="54" t="e">
        <f>IF(OR(COUNT(L61:L63)=0,Standards_Data!M$5&gt;Standards_Data!M$23)," ",IF(SUM(L61:L63) &gt;=2,"pass","fail"))</f>
        <v>#DIV/0!</v>
      </c>
      <c r="N62" s="56">
        <f>IF(H62="undetermined",0,IF(H62&gt;=Standards_Data!M$25,0,1))</f>
        <v>0</v>
      </c>
      <c r="O62" s="34" t="e">
        <f>IF(H62="undetermined","ND",IF(H62&gt;Standards_Data!M$22,"fail","pass"))</f>
        <v>#DIV/0!</v>
      </c>
      <c r="P62" s="54"/>
      <c r="Q62" s="54"/>
      <c r="R62" s="54"/>
      <c r="S62" s="57" t="e">
        <f>IF(AND(P61&gt;(Sketa22_Data!O$4+3*Sketa22_Data!O$5), P61&lt;= (Sketa22_Data!O$4+3.3)),P61-(Sketa22_Data!O$4+3*Sketa22_Data!O$5)," ")</f>
        <v>#DIV/0!</v>
      </c>
      <c r="T62" s="54" t="e">
        <f>IF(AND(P61&gt;(Sketa22_Data!O$4+3*Sketa22_Data!O$5), P61&lt;= (Sketa22_Data!O$4+3.3)),"pass"," ")</f>
        <v>#DIV/0!</v>
      </c>
      <c r="U62" s="54" t="e">
        <f>IF(AND(Sketa22_Data!O$5 &lt;0.62,OR(Q61="pass",T61="pass")),"pass"," ")</f>
        <v>#DIV/0!</v>
      </c>
      <c r="V62" s="54" t="e">
        <f>IF(AND(L62=1,M62="pass",O62="pass",U62="pass",Standards_Data!M$20="pass",Standards_Data!M$21="pass",Standards_Data!M$6="pass",Standards_Data!H$30="pass",Sketa22_Data!G$18="pass"),"pass","fail")</f>
        <v>#DIV/0!</v>
      </c>
      <c r="W62" s="122" t="e">
        <f t="shared" si="3"/>
        <v>#DIV/0!</v>
      </c>
      <c r="X62" s="122"/>
      <c r="Y62" s="122"/>
      <c r="Z62" s="122"/>
      <c r="AA62" s="70"/>
    </row>
    <row r="63" spans="1:36" x14ac:dyDescent="0.25">
      <c r="A63" s="34">
        <v>1</v>
      </c>
      <c r="B63" s="34">
        <v>1</v>
      </c>
      <c r="C63" s="2"/>
      <c r="D63" s="96">
        <v>7</v>
      </c>
      <c r="E63" s="5"/>
      <c r="F63" s="98">
        <v>2</v>
      </c>
      <c r="G63" s="99">
        <v>20</v>
      </c>
      <c r="H63" s="148"/>
      <c r="I63" s="148"/>
      <c r="J63" s="149"/>
      <c r="K63" s="172" t="e">
        <f>IF(I63&lt;Standards_Data!M$18,"pass",IF(OR(H63&gt;Standards_Data!M$17,H63="undetermined"),"inhb","comp"))</f>
        <v>#DIV/0!</v>
      </c>
      <c r="L63" s="55" t="e">
        <f t="shared" si="1"/>
        <v>#DIV/0!</v>
      </c>
      <c r="M63" s="54" t="e">
        <f>IF(OR(COUNT(L61:L63)=0,Standards_Data!M$5&gt;Standards_Data!M$23)," ",IF(SUM(L61:L63) &gt;=2,"pass","fail"))</f>
        <v>#DIV/0!</v>
      </c>
      <c r="N63" s="56">
        <f>IF(H63="undetermined",0,IF(H63&gt;=Standards_Data!M$25,0,1))</f>
        <v>0</v>
      </c>
      <c r="O63" s="34" t="e">
        <f>IF(H63="undetermined","ND",IF(H63&gt;Standards_Data!M$22,"fail","pass"))</f>
        <v>#DIV/0!</v>
      </c>
      <c r="P63" s="54"/>
      <c r="Q63" s="54"/>
      <c r="R63" s="54"/>
      <c r="S63" s="57" t="e">
        <f>IF(AND(P61&gt;(Sketa22_Data!O$4+3*Sketa22_Data!O$5), P61&lt;= (Sketa22_Data!O$4+3.3)),P61-(Sketa22_Data!O$4+3*Sketa22_Data!O$5)," ")</f>
        <v>#DIV/0!</v>
      </c>
      <c r="T63" s="54" t="e">
        <f>IF(AND(P61&gt;(Sketa22_Data!O$4+3*Sketa22_Data!O$5), P61&lt;= (Sketa22_Data!O$4+3.3)),"pass"," ")</f>
        <v>#DIV/0!</v>
      </c>
      <c r="U63" s="54" t="e">
        <f>IF(AND(Sketa22_Data!O$5 &lt;0.62,OR(Q61="pass",T61="pass")),"pass"," ")</f>
        <v>#DIV/0!</v>
      </c>
      <c r="V63" s="54" t="e">
        <f>IF(AND(L63=1,M63="pass",O63="pass",U63="pass",Standards_Data!M$20="pass",Standards_Data!M$21="pass",Standards_Data!M$6="pass",Standards_Data!H$30="pass",Sketa22_Data!G$18="pass"),"pass","fail")</f>
        <v>#DIV/0!</v>
      </c>
      <c r="W63" s="122" t="e">
        <f t="shared" si="3"/>
        <v>#DIV/0!</v>
      </c>
      <c r="X63" s="122"/>
      <c r="Y63" s="122"/>
      <c r="Z63" s="122"/>
      <c r="AA63" s="70"/>
    </row>
    <row r="64" spans="1:36" x14ac:dyDescent="0.25">
      <c r="A64" s="34">
        <v>1</v>
      </c>
      <c r="B64" s="34">
        <v>1</v>
      </c>
      <c r="C64" s="2"/>
      <c r="D64" s="96">
        <v>7</v>
      </c>
      <c r="E64" s="5"/>
      <c r="F64" s="98">
        <v>3</v>
      </c>
      <c r="G64" s="99">
        <v>21</v>
      </c>
      <c r="H64" s="148"/>
      <c r="I64" s="148"/>
      <c r="J64" s="149"/>
      <c r="K64" s="172" t="e">
        <f>IF(I64&lt;Standards_Data!M$18,"pass",IF(OR(H64&gt;Standards_Data!M$17,H64="undetermined"),"inhb","comp"))</f>
        <v>#DIV/0!</v>
      </c>
      <c r="L64" s="55" t="e">
        <f t="shared" si="1"/>
        <v>#DIV/0!</v>
      </c>
      <c r="M64" s="54" t="e">
        <f>IF(OR(COUNT(L64:L66)=0,Standards_Data!M$5&gt;Standards_Data!M$23)," ",IF(SUM(L64:L66) &gt;=2,"pass","fail"))</f>
        <v>#DIV/0!</v>
      </c>
      <c r="N64" s="56">
        <f>IF(H64="undetermined",0,IF(H64&gt;=Standards_Data!M$25,0,1))</f>
        <v>0</v>
      </c>
      <c r="O64" s="34" t="e">
        <f>IF(H64="undetermined","ND",IF(H64&gt;Standards_Data!M$22,"fail","pass"))</f>
        <v>#DIV/0!</v>
      </c>
      <c r="P64" s="57" t="str">
        <f>IF(COUNT(J64:J66)=0," ",AVERAGE(J64:J66))</f>
        <v xml:space="preserve"> </v>
      </c>
      <c r="Q64" s="54" t="str">
        <f>IF(P64=" "," ",IF(P64&gt; (Sketa22_Data!O$4+3*Sketa22_Data!O$5),"fail","pass"))</f>
        <v xml:space="preserve"> </v>
      </c>
      <c r="R64" s="54" t="str">
        <f>IF(P64=" "," ",IF(P64&gt; (Sketa22_Data!O$4+3.3),"fail","pass"))</f>
        <v xml:space="preserve"> </v>
      </c>
      <c r="S64" s="57" t="e">
        <f>IF(AND(P64&gt;(Sketa22_Data!O$4+3*Sketa22_Data!O$5), P64&lt;= (Sketa22_Data!O$4+3.3)),P64-(Sketa22_Data!O$4+3*Sketa22_Data!O$5)," ")</f>
        <v>#DIV/0!</v>
      </c>
      <c r="T64" s="54" t="e">
        <f>IF(AND(P64&gt;(Sketa22_Data!O$4+3*Sketa22_Data!O$5), P64&lt;= (Sketa22_Data!O$4+3.3)),"pass"," ")</f>
        <v>#DIV/0!</v>
      </c>
      <c r="U64" s="54" t="e">
        <f>IF(AND(Sketa22_Data!O$5 &lt;0.62,OR(Q64="pass",T64="pass")),"pass"," ")</f>
        <v>#DIV/0!</v>
      </c>
      <c r="V64" s="54" t="e">
        <f>IF(AND(L64=1,M64="pass",O64="pass",U64="pass",Standards_Data!M$20="pass",Standards_Data!M$21="pass",Standards_Data!M$6="pass",Standards_Data!H$30="pass",Sketa22_Data!G$18="pass"),"pass","fail")</f>
        <v>#DIV/0!</v>
      </c>
      <c r="W64" s="122" t="e">
        <f t="shared" si="3"/>
        <v>#DIV/0!</v>
      </c>
      <c r="X64" s="122"/>
      <c r="Y64" s="122"/>
      <c r="Z64" s="122"/>
      <c r="AA64" s="70"/>
    </row>
    <row r="65" spans="1:36" x14ac:dyDescent="0.25">
      <c r="A65" s="34">
        <v>1</v>
      </c>
      <c r="B65" s="34">
        <v>1</v>
      </c>
      <c r="C65" s="2"/>
      <c r="D65" s="96">
        <v>7</v>
      </c>
      <c r="E65" s="5"/>
      <c r="F65" s="98">
        <v>3</v>
      </c>
      <c r="G65" s="99">
        <v>21</v>
      </c>
      <c r="H65" s="148"/>
      <c r="I65" s="148"/>
      <c r="J65" s="149"/>
      <c r="K65" s="172" t="e">
        <f>IF(I65&lt;Standards_Data!M$18,"pass",IF(OR(H65&gt;Standards_Data!M$17,H65="undetermined"),"inhb","comp"))</f>
        <v>#DIV/0!</v>
      </c>
      <c r="L65" s="55" t="e">
        <f t="shared" si="1"/>
        <v>#DIV/0!</v>
      </c>
      <c r="M65" s="54" t="e">
        <f>IF(OR(COUNT(L64:L66)=0,Standards_Data!M$5&gt;Standards_Data!M$23)," ",IF(SUM(L64:L66) &gt;=2,"pass","fail"))</f>
        <v>#DIV/0!</v>
      </c>
      <c r="N65" s="56">
        <f>IF(H65="undetermined",0,IF(H65&gt;=Standards_Data!M$25,0,1))</f>
        <v>0</v>
      </c>
      <c r="O65" s="34" t="e">
        <f>IF(H65="undetermined","ND",IF(H65&gt;Standards_Data!M$22,"fail","pass"))</f>
        <v>#DIV/0!</v>
      </c>
      <c r="P65" s="54"/>
      <c r="Q65" s="54"/>
      <c r="R65" s="54"/>
      <c r="S65" s="57" t="e">
        <f>IF(AND(P64&gt;(Sketa22_Data!O$4+3*Sketa22_Data!O$5), P64&lt;= (Sketa22_Data!O$4+3.3)),P64-(Sketa22_Data!O$4+3*Sketa22_Data!O$5)," ")</f>
        <v>#DIV/0!</v>
      </c>
      <c r="T65" s="54" t="e">
        <f>IF(AND(P64&gt;(Sketa22_Data!O$4+3*Sketa22_Data!O$5), P64&lt;= (Sketa22_Data!O$4+3.3)),"pass"," ")</f>
        <v>#DIV/0!</v>
      </c>
      <c r="U65" s="54" t="e">
        <f>IF(AND(Sketa22_Data!O$5 &lt;0.62,OR(Q64="pass",T64="pass")),"pass"," ")</f>
        <v>#DIV/0!</v>
      </c>
      <c r="V65" s="54" t="e">
        <f>IF(AND(L65=1,M65="pass",O65="pass",U65="pass",Standards_Data!M$20="pass",Standards_Data!M$21="pass",Standards_Data!M$6="pass",Standards_Data!H$30="pass",Sketa22_Data!G$18="pass"),"pass","fail")</f>
        <v>#DIV/0!</v>
      </c>
      <c r="W65" s="122" t="e">
        <f t="shared" si="3"/>
        <v>#DIV/0!</v>
      </c>
      <c r="X65" s="122"/>
      <c r="Y65" s="122"/>
      <c r="Z65" s="122"/>
      <c r="AA65" s="70"/>
    </row>
    <row r="66" spans="1:36" ht="15.75" thickBot="1" x14ac:dyDescent="0.3">
      <c r="A66" s="109">
        <v>1</v>
      </c>
      <c r="B66" s="109">
        <v>1</v>
      </c>
      <c r="C66" s="156"/>
      <c r="D66" s="105">
        <v>7</v>
      </c>
      <c r="E66" s="106"/>
      <c r="F66" s="107">
        <v>3</v>
      </c>
      <c r="G66" s="108">
        <v>21</v>
      </c>
      <c r="H66" s="150"/>
      <c r="I66" s="150"/>
      <c r="J66" s="151"/>
      <c r="K66" s="109" t="e">
        <f>IF(I66&lt;Standards_Data!M$18,"pass",IF(OR(H66&gt;Standards_Data!M$17,H66="undetermined"),"inhb","comp"))</f>
        <v>#DIV/0!</v>
      </c>
      <c r="L66" s="110" t="e">
        <f t="shared" si="1"/>
        <v>#DIV/0!</v>
      </c>
      <c r="M66" s="109" t="e">
        <f>IF(OR(COUNT(L64:L66)=0,Standards_Data!M$5&gt;Standards_Data!M$23)," ",IF(SUM(L64:L66) &gt;=2,"pass","fail"))</f>
        <v>#DIV/0!</v>
      </c>
      <c r="N66" s="182">
        <f>IF(H66="undetermined",0,IF(H66&gt;=Standards_Data!M$25,0,1))</f>
        <v>0</v>
      </c>
      <c r="O66" s="109" t="e">
        <f>IF(H66="undetermined","ND",IF(H66&gt;Standards_Data!M$22,"fail","pass"))</f>
        <v>#DIV/0!</v>
      </c>
      <c r="P66" s="109"/>
      <c r="Q66" s="109"/>
      <c r="R66" s="109"/>
      <c r="S66" s="111" t="e">
        <f>IF(AND(P64&gt;(Sketa22_Data!O$4+3*Sketa22_Data!O$5), P64&lt;= (Sketa22_Data!O$4+3.3)),P64-(Sketa22_Data!O$4+3*Sketa22_Data!O$5)," ")</f>
        <v>#DIV/0!</v>
      </c>
      <c r="T66" s="109" t="e">
        <f>IF(AND(P64&gt;(Sketa22_Data!O$4+3*Sketa22_Data!O$5), P64&lt;= (Sketa22_Data!O$4+3.3)),"pass"," ")</f>
        <v>#DIV/0!</v>
      </c>
      <c r="U66" s="109" t="e">
        <f>IF(AND(Sketa22_Data!O$5 &lt;0.62,OR(Q64="pass",T64="pass")),"pass"," ")</f>
        <v>#DIV/0!</v>
      </c>
      <c r="V66" s="109" t="e">
        <f>IF(AND(L66=1,M66="pass",O66="pass",U66="pass",Standards_Data!M$20="pass",Standards_Data!M$21="pass",Standards_Data!M$6="pass",Standards_Data!H$30="pass",Sketa22_Data!G$18="pass"),"pass","fail")</f>
        <v>#DIV/0!</v>
      </c>
      <c r="W66" s="123" t="e">
        <f t="shared" si="3"/>
        <v>#DIV/0!</v>
      </c>
      <c r="X66" s="123"/>
      <c r="Y66" s="123"/>
      <c r="Z66" s="123"/>
      <c r="AA66" s="118"/>
      <c r="AB66" s="112"/>
      <c r="AC66" s="113"/>
      <c r="AD66" s="114"/>
      <c r="AE66" s="114"/>
      <c r="AF66" s="114"/>
      <c r="AG66" s="114"/>
      <c r="AH66" s="115"/>
      <c r="AI66" s="116"/>
      <c r="AJ66" s="114"/>
    </row>
    <row r="68" spans="1:36" x14ac:dyDescent="0.25">
      <c r="L68" s="8"/>
    </row>
    <row r="70" spans="1:36" ht="15.75" x14ac:dyDescent="0.25">
      <c r="G70" s="157" t="s">
        <v>102</v>
      </c>
    </row>
    <row r="72" spans="1:36" x14ac:dyDescent="0.25">
      <c r="G72" s="74" t="s">
        <v>66</v>
      </c>
      <c r="H72" s="75" t="s">
        <v>97</v>
      </c>
      <c r="I72" s="75" t="s">
        <v>6</v>
      </c>
      <c r="J72" s="75" t="s">
        <v>47</v>
      </c>
      <c r="K72" s="75" t="s">
        <v>48</v>
      </c>
      <c r="L72" s="76" t="s">
        <v>49</v>
      </c>
      <c r="M72" s="76" t="s">
        <v>50</v>
      </c>
      <c r="N72" s="77" t="s">
        <v>61</v>
      </c>
    </row>
    <row r="73" spans="1:36" x14ac:dyDescent="0.25">
      <c r="C73" s="73" t="s">
        <v>204</v>
      </c>
      <c r="G73" s="78" t="str">
        <f>$P$4</f>
        <v xml:space="preserve"> </v>
      </c>
      <c r="H73" s="78" t="e">
        <f>IF( G73 &lt;(Sketa22_Data!O$4+3*Sketa22_Data!O$5),G73,"")</f>
        <v>#DIV/0!</v>
      </c>
      <c r="I73" s="79">
        <v>1</v>
      </c>
      <c r="J73" s="78" t="e">
        <f>IF( AND(G73 &gt;(Sketa22_Data!O$4+3*Sketa22_Data!O$5),G73 &lt;(Sketa22_Data!O$4+3.3)),G73,"")</f>
        <v>#DIV/0!</v>
      </c>
      <c r="K73" s="78" t="e">
        <f>IF( AND(G73 &gt;(Sketa22_Data!O$4+3.3),G73&lt; 30),G73,"")</f>
        <v>#DIV/0!</v>
      </c>
      <c r="L73" s="78" t="e">
        <f>Sketa22_Data!O$4+3*Sketa22_Data!O$5</f>
        <v>#DIV/0!</v>
      </c>
      <c r="M73" s="78" t="e">
        <f>Sketa22_Data!O$4+3.3</f>
        <v>#DIV/0!</v>
      </c>
      <c r="N73" s="80" t="str">
        <f>IF(G73=" "," ",IF(G73&gt;=30,30," "))</f>
        <v xml:space="preserve"> </v>
      </c>
    </row>
    <row r="74" spans="1:36" x14ac:dyDescent="0.25">
      <c r="C74" s="73" t="s">
        <v>205</v>
      </c>
      <c r="G74" s="78" t="str">
        <f>P$7</f>
        <v xml:space="preserve"> </v>
      </c>
      <c r="H74" s="78" t="e">
        <f>IF( G74 &lt;(Sketa22_Data!O$4+3*Sketa22_Data!O$5),G74,"")</f>
        <v>#DIV/0!</v>
      </c>
      <c r="I74" s="79">
        <v>2</v>
      </c>
      <c r="J74" s="78" t="e">
        <f>IF( AND(G74 &gt;(Sketa22_Data!O$4+3*Sketa22_Data!O$5),G74 &lt;(Sketa22_Data!O$4+3.3)),G74,"")</f>
        <v>#DIV/0!</v>
      </c>
      <c r="K74" s="78" t="e">
        <f>IF( AND(G74 &gt;(Sketa22_Data!O$4+3.3),G74&lt; 30),G74,"")</f>
        <v>#DIV/0!</v>
      </c>
      <c r="L74" s="78" t="e">
        <f>Sketa22_Data!O$4+3*Sketa22_Data!O$5</f>
        <v>#DIV/0!</v>
      </c>
      <c r="M74" s="78" t="e">
        <f>Sketa22_Data!O$4+3.3</f>
        <v>#DIV/0!</v>
      </c>
      <c r="N74" s="80" t="str">
        <f t="shared" ref="N74:N93" si="4">IF(G74=" "," ",IF(G74&gt;=30,30," "))</f>
        <v xml:space="preserve"> </v>
      </c>
    </row>
    <row r="75" spans="1:36" x14ac:dyDescent="0.25">
      <c r="G75" s="78" t="str">
        <f>P$10</f>
        <v xml:space="preserve"> </v>
      </c>
      <c r="H75" s="78" t="e">
        <f>IF( G75 &lt;(Sketa22_Data!O$4+3*Sketa22_Data!O$5),G75,"")</f>
        <v>#DIV/0!</v>
      </c>
      <c r="I75" s="79">
        <v>3</v>
      </c>
      <c r="J75" s="78" t="e">
        <f>IF( AND(G75 &gt;(Sketa22_Data!O$4+3*Sketa22_Data!O$5),G75 &lt;(Sketa22_Data!O$4+3.3)),G75,"")</f>
        <v>#DIV/0!</v>
      </c>
      <c r="K75" s="78" t="e">
        <f>IF( AND(G75 &gt;(Sketa22_Data!O$4+3.3),G75&lt; 30),G75,"")</f>
        <v>#DIV/0!</v>
      </c>
      <c r="L75" s="78" t="e">
        <f>Sketa22_Data!O$4+3*Sketa22_Data!O$5</f>
        <v>#DIV/0!</v>
      </c>
      <c r="M75" s="78" t="e">
        <f>Sketa22_Data!O$4+3.3</f>
        <v>#DIV/0!</v>
      </c>
      <c r="N75" s="80" t="str">
        <f t="shared" si="4"/>
        <v xml:space="preserve"> </v>
      </c>
    </row>
    <row r="76" spans="1:36" x14ac:dyDescent="0.25">
      <c r="G76" s="78" t="str">
        <f>P$13</f>
        <v xml:space="preserve"> </v>
      </c>
      <c r="H76" s="78" t="e">
        <f>IF( G76 &lt;(Sketa22_Data!O$4+3*Sketa22_Data!O$5),G76,"")</f>
        <v>#DIV/0!</v>
      </c>
      <c r="I76" s="79">
        <v>4</v>
      </c>
      <c r="J76" s="78" t="e">
        <f>IF( AND(G76 &gt;(Sketa22_Data!O$4+3*Sketa22_Data!O$5),G76 &lt;(Sketa22_Data!O$4+3.3)),G76,"")</f>
        <v>#DIV/0!</v>
      </c>
      <c r="K76" s="78" t="e">
        <f>IF( AND(G76 &gt;(Sketa22_Data!O$4+3.3),G76&lt; 30),G76,"")</f>
        <v>#DIV/0!</v>
      </c>
      <c r="L76" s="78" t="e">
        <f>Sketa22_Data!O$4+3*Sketa22_Data!O$5</f>
        <v>#DIV/0!</v>
      </c>
      <c r="M76" s="78" t="e">
        <f>Sketa22_Data!O$4+3.3</f>
        <v>#DIV/0!</v>
      </c>
      <c r="N76" s="80" t="str">
        <f t="shared" si="4"/>
        <v xml:space="preserve"> </v>
      </c>
    </row>
    <row r="77" spans="1:36" x14ac:dyDescent="0.25">
      <c r="G77" s="78" t="str">
        <f>P$16</f>
        <v xml:space="preserve"> </v>
      </c>
      <c r="H77" s="78" t="e">
        <f>IF( G77 &lt;(Sketa22_Data!O$4+3*Sketa22_Data!O$5),G77,"")</f>
        <v>#DIV/0!</v>
      </c>
      <c r="I77" s="79">
        <v>5</v>
      </c>
      <c r="J77" s="78" t="e">
        <f>IF( AND(G77 &gt;(Sketa22_Data!O$4+3*Sketa22_Data!O$5),G77 &lt;(Sketa22_Data!O$4+3.3)),G77,"")</f>
        <v>#DIV/0!</v>
      </c>
      <c r="K77" s="78" t="e">
        <f>IF( AND(G77 &gt;(Sketa22_Data!O$4+3.3),G77&lt; 30),G77,"")</f>
        <v>#DIV/0!</v>
      </c>
      <c r="L77" s="78" t="e">
        <f>Sketa22_Data!O$4+3*Sketa22_Data!O$5</f>
        <v>#DIV/0!</v>
      </c>
      <c r="M77" s="78" t="e">
        <f>Sketa22_Data!O$4+3.3</f>
        <v>#DIV/0!</v>
      </c>
      <c r="N77" s="80" t="str">
        <f t="shared" si="4"/>
        <v xml:space="preserve"> </v>
      </c>
    </row>
    <row r="78" spans="1:36" x14ac:dyDescent="0.25">
      <c r="G78" s="78" t="str">
        <f>P$19</f>
        <v xml:space="preserve"> </v>
      </c>
      <c r="H78" s="78" t="e">
        <f>IF( G78 &lt;(Sketa22_Data!O$4+3*Sketa22_Data!O$5),G78,"")</f>
        <v>#DIV/0!</v>
      </c>
      <c r="I78" s="79">
        <v>6</v>
      </c>
      <c r="J78" s="78" t="e">
        <f>IF( AND(G78 &gt;(Sketa22_Data!O$4+3*Sketa22_Data!O$5),G78 &lt;(Sketa22_Data!O$4+3.3)),G78,"")</f>
        <v>#DIV/0!</v>
      </c>
      <c r="K78" s="78" t="e">
        <f>IF( AND(G78 &gt;(Sketa22_Data!O$4+3.3),G78&lt; 30),G78,"")</f>
        <v>#DIV/0!</v>
      </c>
      <c r="L78" s="78" t="e">
        <f>Sketa22_Data!O$4+3*Sketa22_Data!O$5</f>
        <v>#DIV/0!</v>
      </c>
      <c r="M78" s="78" t="e">
        <f>Sketa22_Data!O$4+3.3</f>
        <v>#DIV/0!</v>
      </c>
      <c r="N78" s="80" t="str">
        <f t="shared" si="4"/>
        <v xml:space="preserve"> </v>
      </c>
    </row>
    <row r="79" spans="1:36" x14ac:dyDescent="0.25">
      <c r="G79" s="78" t="str">
        <f>P$22</f>
        <v xml:space="preserve"> </v>
      </c>
      <c r="H79" s="78" t="e">
        <f>IF( G79 &lt;(Sketa22_Data!O$4+3*Sketa22_Data!O$5),G79,"")</f>
        <v>#DIV/0!</v>
      </c>
      <c r="I79" s="79">
        <v>7</v>
      </c>
      <c r="J79" s="78" t="e">
        <f>IF( AND(G79 &gt;(Sketa22_Data!O$4+3*Sketa22_Data!O$5),G79 &lt;(Sketa22_Data!O$4+3.3)),G79,"")</f>
        <v>#DIV/0!</v>
      </c>
      <c r="K79" s="78" t="e">
        <f>IF( AND(G79 &gt;(Sketa22_Data!O$4+3.3),G79&lt; 30),G79,"")</f>
        <v>#DIV/0!</v>
      </c>
      <c r="L79" s="78" t="e">
        <f>Sketa22_Data!O$4+3*Sketa22_Data!O$5</f>
        <v>#DIV/0!</v>
      </c>
      <c r="M79" s="78" t="e">
        <f>Sketa22_Data!O$4+3.3</f>
        <v>#DIV/0!</v>
      </c>
      <c r="N79" s="80" t="str">
        <f t="shared" si="4"/>
        <v xml:space="preserve"> </v>
      </c>
    </row>
    <row r="80" spans="1:36" x14ac:dyDescent="0.25">
      <c r="G80" s="78" t="str">
        <f>P$25</f>
        <v xml:space="preserve"> </v>
      </c>
      <c r="H80" s="78" t="e">
        <f>IF( G80 &lt;(Sketa22_Data!O$4+3*Sketa22_Data!O$5),G80,"")</f>
        <v>#DIV/0!</v>
      </c>
      <c r="I80" s="79">
        <v>8</v>
      </c>
      <c r="J80" s="78" t="e">
        <f>IF( AND(G80 &gt;(Sketa22_Data!O$4+3*Sketa22_Data!O$5),G80 &lt;(Sketa22_Data!O$4+3.3)),G80,"")</f>
        <v>#DIV/0!</v>
      </c>
      <c r="K80" s="78" t="e">
        <f>IF( AND(G80 &gt;(Sketa22_Data!O$4+3.3),G80&lt; 30),G80,"")</f>
        <v>#DIV/0!</v>
      </c>
      <c r="L80" s="78" t="e">
        <f>Sketa22_Data!O$4+3*Sketa22_Data!O$5</f>
        <v>#DIV/0!</v>
      </c>
      <c r="M80" s="78" t="e">
        <f>Sketa22_Data!O$4+3.3</f>
        <v>#DIV/0!</v>
      </c>
      <c r="N80" s="80" t="str">
        <f t="shared" si="4"/>
        <v xml:space="preserve"> </v>
      </c>
    </row>
    <row r="81" spans="7:14" x14ac:dyDescent="0.25">
      <c r="G81" s="78" t="str">
        <f>P$28</f>
        <v xml:space="preserve"> </v>
      </c>
      <c r="H81" s="78" t="e">
        <f>IF( G81 &lt;(Sketa22_Data!O$4+3*Sketa22_Data!O$5),G81,"")</f>
        <v>#DIV/0!</v>
      </c>
      <c r="I81" s="79">
        <v>9</v>
      </c>
      <c r="J81" s="78" t="e">
        <f>IF( AND(G81 &gt;(Sketa22_Data!O$4+3*Sketa22_Data!O$5),G81 &lt;(Sketa22_Data!O$4+3.3)),G81,"")</f>
        <v>#DIV/0!</v>
      </c>
      <c r="K81" s="78" t="e">
        <f>IF( AND(G81 &gt;(Sketa22_Data!O$4+3.3),G81&lt; 30),G81,"")</f>
        <v>#DIV/0!</v>
      </c>
      <c r="L81" s="78" t="e">
        <f>Sketa22_Data!O$4+3*Sketa22_Data!O$5</f>
        <v>#DIV/0!</v>
      </c>
      <c r="M81" s="78" t="e">
        <f>Sketa22_Data!O$4+3.3</f>
        <v>#DIV/0!</v>
      </c>
      <c r="N81" s="80" t="str">
        <f t="shared" si="4"/>
        <v xml:space="preserve"> </v>
      </c>
    </row>
    <row r="82" spans="7:14" x14ac:dyDescent="0.25">
      <c r="G82" s="78" t="str">
        <f>P$31</f>
        <v xml:space="preserve"> </v>
      </c>
      <c r="H82" s="78" t="e">
        <f>IF( G82 &lt;(Sketa22_Data!O$4+3*Sketa22_Data!O$5),G82,"")</f>
        <v>#DIV/0!</v>
      </c>
      <c r="I82" s="79">
        <v>10</v>
      </c>
      <c r="J82" s="78" t="e">
        <f>IF( AND(G82 &gt;(Sketa22_Data!O$4+3*Sketa22_Data!O$5),G82 &lt;(Sketa22_Data!O$4+3.3)),G82,"")</f>
        <v>#DIV/0!</v>
      </c>
      <c r="K82" s="78" t="e">
        <f>IF( AND(G82 &gt;(Sketa22_Data!O$4+3.3),G82&lt; 30),G82,"")</f>
        <v>#DIV/0!</v>
      </c>
      <c r="L82" s="78" t="e">
        <f>Sketa22_Data!O$4+3*Sketa22_Data!O$5</f>
        <v>#DIV/0!</v>
      </c>
      <c r="M82" s="78" t="e">
        <f>Sketa22_Data!O$4+3.3</f>
        <v>#DIV/0!</v>
      </c>
      <c r="N82" s="80" t="str">
        <f t="shared" si="4"/>
        <v xml:space="preserve"> </v>
      </c>
    </row>
    <row r="83" spans="7:14" x14ac:dyDescent="0.25">
      <c r="G83" s="78" t="str">
        <f>P$34</f>
        <v xml:space="preserve"> </v>
      </c>
      <c r="H83" s="78" t="e">
        <f>IF( G83 &lt;(Sketa22_Data!O$4+3*Sketa22_Data!O$5),G83,"")</f>
        <v>#DIV/0!</v>
      </c>
      <c r="I83" s="79">
        <v>11</v>
      </c>
      <c r="J83" s="78" t="e">
        <f>IF( AND(G83 &gt;(Sketa22_Data!O$4+3*Sketa22_Data!O$5),G83 &lt;(Sketa22_Data!O$4+3.3)),G83,"")</f>
        <v>#DIV/0!</v>
      </c>
      <c r="K83" s="78" t="e">
        <f>IF( AND(G83 &gt;(Sketa22_Data!O$4+3.3),G83&lt; 30),G83,"")</f>
        <v>#DIV/0!</v>
      </c>
      <c r="L83" s="78" t="e">
        <f>Sketa22_Data!O$4+3*Sketa22_Data!O$5</f>
        <v>#DIV/0!</v>
      </c>
      <c r="M83" s="78" t="e">
        <f>Sketa22_Data!O$4+3.3</f>
        <v>#DIV/0!</v>
      </c>
      <c r="N83" s="80" t="str">
        <f t="shared" si="4"/>
        <v xml:space="preserve"> </v>
      </c>
    </row>
    <row r="84" spans="7:14" x14ac:dyDescent="0.25">
      <c r="G84" s="78" t="str">
        <f>P$37</f>
        <v xml:space="preserve"> </v>
      </c>
      <c r="H84" s="78" t="e">
        <f>IF( G84 &lt;(Sketa22_Data!O$4+3*Sketa22_Data!O$5),G84,"")</f>
        <v>#DIV/0!</v>
      </c>
      <c r="I84" s="79">
        <v>12</v>
      </c>
      <c r="J84" s="78" t="e">
        <f>IF( AND(G84 &gt;(Sketa22_Data!O$4+3*Sketa22_Data!O$5),G84 &lt;(Sketa22_Data!O$4+3.3)),G84,"")</f>
        <v>#DIV/0!</v>
      </c>
      <c r="K84" s="78" t="e">
        <f>IF( AND(G84 &gt;(Sketa22_Data!O$4+3.3),G84&lt; 30),G84,"")</f>
        <v>#DIV/0!</v>
      </c>
      <c r="L84" s="78" t="e">
        <f>Sketa22_Data!O$4+3*Sketa22_Data!O$5</f>
        <v>#DIV/0!</v>
      </c>
      <c r="M84" s="78" t="e">
        <f>Sketa22_Data!O$4+3.3</f>
        <v>#DIV/0!</v>
      </c>
      <c r="N84" s="80" t="str">
        <f t="shared" si="4"/>
        <v xml:space="preserve"> </v>
      </c>
    </row>
    <row r="85" spans="7:14" x14ac:dyDescent="0.25">
      <c r="G85" s="78" t="str">
        <f>P$40</f>
        <v xml:space="preserve"> </v>
      </c>
      <c r="H85" s="78" t="e">
        <f>IF( G85 &lt;(Sketa22_Data!O$4+3*Sketa22_Data!O$5),G85,"")</f>
        <v>#DIV/0!</v>
      </c>
      <c r="I85" s="79">
        <v>13</v>
      </c>
      <c r="J85" s="78" t="e">
        <f>IF( AND(G85 &gt;(Sketa22_Data!O$4+3*Sketa22_Data!O$5),G85 &lt;(Sketa22_Data!O$4+3.3)),G85,"")</f>
        <v>#DIV/0!</v>
      </c>
      <c r="K85" s="78" t="e">
        <f>IF( AND(G85 &gt;(Sketa22_Data!O$4+3.3),G85&lt; 30),G85,"")</f>
        <v>#DIV/0!</v>
      </c>
      <c r="L85" s="78" t="e">
        <f>Sketa22_Data!O$4+3*Sketa22_Data!O$5</f>
        <v>#DIV/0!</v>
      </c>
      <c r="M85" s="78" t="e">
        <f>Sketa22_Data!O$4+3.3</f>
        <v>#DIV/0!</v>
      </c>
      <c r="N85" s="80" t="str">
        <f t="shared" si="4"/>
        <v xml:space="preserve"> </v>
      </c>
    </row>
    <row r="86" spans="7:14" x14ac:dyDescent="0.25">
      <c r="G86" s="78" t="str">
        <f>P$43</f>
        <v xml:space="preserve"> </v>
      </c>
      <c r="H86" s="78" t="e">
        <f>IF( G86 &lt;(Sketa22_Data!O$4+3*Sketa22_Data!O$5),G86,"")</f>
        <v>#DIV/0!</v>
      </c>
      <c r="I86" s="79">
        <v>14</v>
      </c>
      <c r="J86" s="78" t="e">
        <f>IF( AND(G86 &gt;(Sketa22_Data!O$4+3*Sketa22_Data!O$5),G86 &lt;(Sketa22_Data!O$4+3.3)),G86,"")</f>
        <v>#DIV/0!</v>
      </c>
      <c r="K86" s="78" t="e">
        <f>IF( AND(G86 &gt;(Sketa22_Data!O$4+3.3),G86&lt; 30),G86,"")</f>
        <v>#DIV/0!</v>
      </c>
      <c r="L86" s="78" t="e">
        <f>Sketa22_Data!O$4+3*Sketa22_Data!O$5</f>
        <v>#DIV/0!</v>
      </c>
      <c r="M86" s="78" t="e">
        <f>Sketa22_Data!O$4+3.3</f>
        <v>#DIV/0!</v>
      </c>
      <c r="N86" s="80" t="str">
        <f t="shared" si="4"/>
        <v xml:space="preserve"> </v>
      </c>
    </row>
    <row r="87" spans="7:14" x14ac:dyDescent="0.25">
      <c r="G87" s="78" t="str">
        <f>P$46</f>
        <v xml:space="preserve"> </v>
      </c>
      <c r="H87" s="78" t="e">
        <f>IF( G87 &lt;(Sketa22_Data!O$4+3*Sketa22_Data!O$5),G87,"")</f>
        <v>#DIV/0!</v>
      </c>
      <c r="I87" s="79">
        <v>15</v>
      </c>
      <c r="J87" s="78" t="e">
        <f>IF( AND(G87 &gt;(Sketa22_Data!O$4+3*Sketa22_Data!O$5),G87 &lt;(Sketa22_Data!O$4+3.3)),G87,"")</f>
        <v>#DIV/0!</v>
      </c>
      <c r="K87" s="78" t="e">
        <f>IF( AND(G87 &gt;(Sketa22_Data!O$4+3.3),G87&lt; 30),G87,"")</f>
        <v>#DIV/0!</v>
      </c>
      <c r="L87" s="78" t="e">
        <f>Sketa22_Data!O$4+3*Sketa22_Data!O$5</f>
        <v>#DIV/0!</v>
      </c>
      <c r="M87" s="78" t="e">
        <f>Sketa22_Data!O$4+3.3</f>
        <v>#DIV/0!</v>
      </c>
      <c r="N87" s="80" t="str">
        <f t="shared" si="4"/>
        <v xml:space="preserve"> </v>
      </c>
    </row>
    <row r="88" spans="7:14" x14ac:dyDescent="0.25">
      <c r="G88" s="78" t="str">
        <f>P$49</f>
        <v xml:space="preserve"> </v>
      </c>
      <c r="H88" s="78" t="e">
        <f>IF( G88 &lt;(Sketa22_Data!O$4+3*Sketa22_Data!O$5),G88,"")</f>
        <v>#DIV/0!</v>
      </c>
      <c r="I88" s="79">
        <v>16</v>
      </c>
      <c r="J88" s="78" t="e">
        <f>IF( AND(G88 &gt;(Sketa22_Data!O$4+3*Sketa22_Data!O$5),G88 &lt;(Sketa22_Data!O$4+3.3)),G88,"")</f>
        <v>#DIV/0!</v>
      </c>
      <c r="K88" s="78" t="e">
        <f>IF( AND(G88 &gt;(Sketa22_Data!O$4+3.3),G88&lt; 30),G88,"")</f>
        <v>#DIV/0!</v>
      </c>
      <c r="L88" s="78" t="e">
        <f>Sketa22_Data!O$4+3*Sketa22_Data!O$5</f>
        <v>#DIV/0!</v>
      </c>
      <c r="M88" s="78" t="e">
        <f>Sketa22_Data!O$4+3.3</f>
        <v>#DIV/0!</v>
      </c>
      <c r="N88" s="80" t="str">
        <f t="shared" si="4"/>
        <v xml:space="preserve"> </v>
      </c>
    </row>
    <row r="89" spans="7:14" x14ac:dyDescent="0.25">
      <c r="G89" s="78" t="str">
        <f>P$52</f>
        <v xml:space="preserve"> </v>
      </c>
      <c r="H89" s="78" t="e">
        <f>IF( G89 &lt;(Sketa22_Data!O$4+3*Sketa22_Data!O$5),G89,"")</f>
        <v>#DIV/0!</v>
      </c>
      <c r="I89" s="79">
        <v>17</v>
      </c>
      <c r="J89" s="78" t="e">
        <f>IF( AND(G89 &gt;(Sketa22_Data!O$4+3*Sketa22_Data!O$5),G89 &lt;(Sketa22_Data!O$4+3.3)),G89,"")</f>
        <v>#DIV/0!</v>
      </c>
      <c r="K89" s="78" t="e">
        <f>IF( AND(G89 &gt;(Sketa22_Data!O$4+3.3),G89&lt; 30),G89,"")</f>
        <v>#DIV/0!</v>
      </c>
      <c r="L89" s="78" t="e">
        <f>Sketa22_Data!O$4+3*Sketa22_Data!O$5</f>
        <v>#DIV/0!</v>
      </c>
      <c r="M89" s="78" t="e">
        <f>Sketa22_Data!O$4+3.3</f>
        <v>#DIV/0!</v>
      </c>
      <c r="N89" s="80" t="str">
        <f t="shared" si="4"/>
        <v xml:space="preserve"> </v>
      </c>
    </row>
    <row r="90" spans="7:14" x14ac:dyDescent="0.25">
      <c r="G90" s="78" t="str">
        <f>P$55</f>
        <v xml:space="preserve"> </v>
      </c>
      <c r="H90" s="78" t="e">
        <f>IF( G90 &lt;(Sketa22_Data!O$4+3*Sketa22_Data!O$5),G90,"")</f>
        <v>#DIV/0!</v>
      </c>
      <c r="I90" s="79">
        <v>18</v>
      </c>
      <c r="J90" s="78" t="e">
        <f>IF( AND(G90 &gt;(Sketa22_Data!O$4+3*Sketa22_Data!O$5),G90 &lt;(Sketa22_Data!O$4+3.3)),G90,"")</f>
        <v>#DIV/0!</v>
      </c>
      <c r="K90" s="78" t="e">
        <f>IF( AND(G90 &gt;(Sketa22_Data!O$4+3.3),G90&lt; 30),G90,"")</f>
        <v>#DIV/0!</v>
      </c>
      <c r="L90" s="78" t="e">
        <f>Sketa22_Data!O$4+3*Sketa22_Data!O$5</f>
        <v>#DIV/0!</v>
      </c>
      <c r="M90" s="78" t="e">
        <f>Sketa22_Data!O$4+3.3</f>
        <v>#DIV/0!</v>
      </c>
      <c r="N90" s="80" t="str">
        <f t="shared" si="4"/>
        <v xml:space="preserve"> </v>
      </c>
    </row>
    <row r="91" spans="7:14" x14ac:dyDescent="0.25">
      <c r="G91" s="78" t="str">
        <f>P$58</f>
        <v xml:space="preserve"> </v>
      </c>
      <c r="H91" s="78" t="e">
        <f>IF( G91 &lt;(Sketa22_Data!O$4+3*Sketa22_Data!O$5),G91,"")</f>
        <v>#DIV/0!</v>
      </c>
      <c r="I91" s="79">
        <v>19</v>
      </c>
      <c r="J91" s="78" t="e">
        <f>IF( AND(G91 &gt;(Sketa22_Data!O$4+3*Sketa22_Data!O$5),G91 &lt;(Sketa22_Data!O$4+3.3)),G91,"")</f>
        <v>#DIV/0!</v>
      </c>
      <c r="K91" s="78" t="e">
        <f>IF( AND(G91 &gt;(Sketa22_Data!O$4+3.3),G91&lt; 30),G91,"")</f>
        <v>#DIV/0!</v>
      </c>
      <c r="L91" s="78" t="e">
        <f>Sketa22_Data!O$4+3*Sketa22_Data!O$5</f>
        <v>#DIV/0!</v>
      </c>
      <c r="M91" s="78" t="e">
        <f>Sketa22_Data!O$4+3.3</f>
        <v>#DIV/0!</v>
      </c>
      <c r="N91" s="80" t="str">
        <f t="shared" si="4"/>
        <v xml:space="preserve"> </v>
      </c>
    </row>
    <row r="92" spans="7:14" x14ac:dyDescent="0.25">
      <c r="G92" s="78" t="str">
        <f>P$61</f>
        <v xml:space="preserve"> </v>
      </c>
      <c r="H92" s="78" t="e">
        <f>IF( G92 &lt;(Sketa22_Data!O$4+3*Sketa22_Data!O$5),G92,"")</f>
        <v>#DIV/0!</v>
      </c>
      <c r="I92" s="79">
        <v>20</v>
      </c>
      <c r="J92" s="78" t="e">
        <f>IF( AND(G92 &gt;(Sketa22_Data!O$4+3*Sketa22_Data!O$5),G92 &lt;(Sketa22_Data!O$4+3.3)),G92,"")</f>
        <v>#DIV/0!</v>
      </c>
      <c r="K92" s="78" t="e">
        <f>IF( AND(G92 &gt;(Sketa22_Data!O$4+3.3),G92&lt; 30),G92,"")</f>
        <v>#DIV/0!</v>
      </c>
      <c r="L92" s="78" t="e">
        <f>Sketa22_Data!O$4+3*Sketa22_Data!O$5</f>
        <v>#DIV/0!</v>
      </c>
      <c r="M92" s="78" t="e">
        <f>Sketa22_Data!O$4+3.3</f>
        <v>#DIV/0!</v>
      </c>
      <c r="N92" s="80" t="str">
        <f t="shared" si="4"/>
        <v xml:space="preserve"> </v>
      </c>
    </row>
    <row r="93" spans="7:14" x14ac:dyDescent="0.25">
      <c r="G93" s="78" t="str">
        <f>P$64</f>
        <v xml:space="preserve"> </v>
      </c>
      <c r="H93" s="78" t="e">
        <f>IF( G93 &lt;(Sketa22_Data!O$4+3*Sketa22_Data!O$5),G93,"")</f>
        <v>#DIV/0!</v>
      </c>
      <c r="I93" s="79">
        <v>21</v>
      </c>
      <c r="J93" s="78" t="e">
        <f>IF( AND(G93 &gt;(Sketa22_Data!O$4+3*Sketa22_Data!O$5),G93 &lt;(Sketa22_Data!O$4+3.3)),G93,"")</f>
        <v>#DIV/0!</v>
      </c>
      <c r="K93" s="78" t="e">
        <f>IF( AND(G93 &gt;(Sketa22_Data!O$4+3.3),G93&lt; 30),G93,"")</f>
        <v>#DIV/0!</v>
      </c>
      <c r="L93" s="78" t="e">
        <f>Sketa22_Data!O$4+3*Sketa22_Data!O$5</f>
        <v>#DIV/0!</v>
      </c>
      <c r="M93" s="78" t="e">
        <f>Sketa22_Data!O$4+3.3</f>
        <v>#DIV/0!</v>
      </c>
      <c r="N93" s="80" t="str">
        <f t="shared" si="4"/>
        <v xml:space="preserve"> </v>
      </c>
    </row>
    <row r="96" spans="7:14" x14ac:dyDescent="0.25">
      <c r="H96" s="142"/>
      <c r="I96" s="143"/>
      <c r="J96" s="144"/>
      <c r="K96" s="144"/>
      <c r="L96" s="145"/>
      <c r="M96" s="145"/>
    </row>
    <row r="97" spans="1:13" x14ac:dyDescent="0.25">
      <c r="H97" s="142"/>
      <c r="I97" s="143"/>
      <c r="J97" s="144"/>
      <c r="K97" s="144"/>
      <c r="L97" s="145"/>
      <c r="M97" s="145"/>
    </row>
    <row r="98" spans="1:13" x14ac:dyDescent="0.25">
      <c r="H98" s="142"/>
      <c r="I98" s="143"/>
      <c r="J98" s="144"/>
      <c r="K98" s="144"/>
      <c r="L98" s="145"/>
      <c r="M98" s="145"/>
    </row>
    <row r="99" spans="1:13" x14ac:dyDescent="0.25">
      <c r="A99" s="8"/>
      <c r="B99" s="72"/>
      <c r="C99" s="144"/>
      <c r="D99" s="144"/>
      <c r="E99" s="144"/>
      <c r="F99" s="144"/>
      <c r="G99" s="144"/>
      <c r="H99" s="8"/>
      <c r="I99" s="8"/>
      <c r="J99" s="144"/>
      <c r="K99" s="144"/>
      <c r="L99" s="145"/>
      <c r="M99" s="145"/>
    </row>
    <row r="100" spans="1:13" x14ac:dyDescent="0.25">
      <c r="A100" s="8"/>
      <c r="B100" s="72"/>
      <c r="C100" s="144"/>
      <c r="D100" s="144"/>
      <c r="E100" s="144"/>
      <c r="F100" s="144"/>
      <c r="G100" s="144"/>
      <c r="H100" s="145"/>
      <c r="I100" s="145"/>
      <c r="J100" s="144"/>
      <c r="K100" s="144"/>
      <c r="L100" s="145"/>
      <c r="M100" s="145"/>
    </row>
    <row r="101" spans="1:13" x14ac:dyDescent="0.25">
      <c r="A101" s="8"/>
      <c r="B101" s="72"/>
      <c r="C101" s="144"/>
      <c r="D101" s="144"/>
      <c r="E101" s="144"/>
      <c r="F101" s="144"/>
      <c r="G101" s="144"/>
      <c r="H101" s="145"/>
      <c r="I101" s="145"/>
      <c r="J101" s="144"/>
      <c r="K101" s="144"/>
      <c r="L101" s="145"/>
      <c r="M101" s="145"/>
    </row>
    <row r="102" spans="1:13" x14ac:dyDescent="0.25">
      <c r="A102" s="8"/>
      <c r="B102" s="72"/>
      <c r="C102" s="144"/>
      <c r="D102" s="144"/>
      <c r="E102" s="144"/>
      <c r="F102" s="144"/>
      <c r="G102" s="144"/>
      <c r="H102" s="145"/>
      <c r="I102" s="145"/>
      <c r="J102" s="144"/>
      <c r="K102" s="144"/>
      <c r="L102" s="145"/>
      <c r="M102" s="145"/>
    </row>
    <row r="103" spans="1:13" x14ac:dyDescent="0.25">
      <c r="A103" s="8"/>
      <c r="B103" s="72"/>
      <c r="C103" s="144"/>
      <c r="D103" s="144"/>
      <c r="E103" s="144"/>
      <c r="F103" s="144"/>
      <c r="G103" s="144"/>
      <c r="H103" s="145"/>
      <c r="I103" s="145"/>
      <c r="J103" s="144"/>
      <c r="K103" s="144"/>
      <c r="L103" s="145"/>
      <c r="M103" s="145"/>
    </row>
    <row r="104" spans="1:13" x14ac:dyDescent="0.25">
      <c r="A104" s="8"/>
      <c r="B104" s="72"/>
      <c r="C104" s="144"/>
      <c r="D104" s="144"/>
      <c r="E104" s="144"/>
      <c r="F104" s="144"/>
      <c r="G104" s="144"/>
      <c r="H104" s="145"/>
      <c r="I104" s="145"/>
      <c r="J104" s="144"/>
      <c r="K104" s="144"/>
      <c r="L104" s="145"/>
      <c r="M104" s="145"/>
    </row>
    <row r="105" spans="1:13" x14ac:dyDescent="0.25">
      <c r="A105" s="8"/>
      <c r="B105" s="72"/>
      <c r="C105" s="144"/>
      <c r="D105" s="144"/>
      <c r="E105" s="144"/>
      <c r="F105" s="144"/>
      <c r="G105" s="144"/>
      <c r="H105" s="145"/>
      <c r="I105" s="145"/>
      <c r="J105" s="144"/>
      <c r="K105" s="144"/>
      <c r="L105" s="145"/>
      <c r="M105" s="145"/>
    </row>
    <row r="106" spans="1:13" x14ac:dyDescent="0.25">
      <c r="A106" s="8"/>
      <c r="B106" s="72"/>
      <c r="C106" s="144"/>
      <c r="D106" s="144"/>
      <c r="E106" s="144"/>
      <c r="F106" s="144"/>
      <c r="G106" s="144"/>
      <c r="H106" s="145"/>
      <c r="I106" s="145"/>
      <c r="J106" s="144"/>
      <c r="K106" s="144"/>
      <c r="L106" s="145"/>
      <c r="M106" s="145"/>
    </row>
    <row r="107" spans="1:13" x14ac:dyDescent="0.25">
      <c r="A107" s="8"/>
      <c r="B107" s="72"/>
      <c r="C107" s="144"/>
      <c r="D107" s="144"/>
      <c r="E107" s="144"/>
      <c r="F107" s="144"/>
      <c r="G107" s="144"/>
      <c r="H107" s="145"/>
      <c r="I107" s="145"/>
      <c r="J107" s="144"/>
      <c r="K107" s="144"/>
      <c r="L107" s="145"/>
      <c r="M107" s="145"/>
    </row>
    <row r="108" spans="1:13" x14ac:dyDescent="0.25">
      <c r="A108" s="8"/>
      <c r="B108" s="72"/>
      <c r="C108" s="144"/>
      <c r="D108" s="144"/>
      <c r="E108" s="144"/>
      <c r="F108" s="144"/>
      <c r="G108" s="144"/>
      <c r="H108" s="145"/>
      <c r="I108" s="145"/>
      <c r="J108" s="144"/>
      <c r="K108" s="144"/>
      <c r="L108" s="145"/>
      <c r="M108" s="145"/>
    </row>
    <row r="109" spans="1:13" x14ac:dyDescent="0.25">
      <c r="A109" s="8"/>
      <c r="B109" s="72"/>
      <c r="C109" s="144"/>
      <c r="D109" s="144"/>
      <c r="E109" s="144"/>
      <c r="F109" s="144"/>
      <c r="G109" s="144"/>
      <c r="H109" s="145"/>
      <c r="I109" s="145"/>
      <c r="J109" s="144"/>
      <c r="K109" s="144"/>
      <c r="L109" s="145"/>
      <c r="M109" s="145"/>
    </row>
    <row r="110" spans="1:13" x14ac:dyDescent="0.25">
      <c r="A110" s="8"/>
      <c r="B110" s="72"/>
      <c r="C110" s="144"/>
      <c r="D110" s="144"/>
      <c r="E110" s="144"/>
      <c r="F110" s="144"/>
      <c r="G110" s="144"/>
      <c r="H110" s="145"/>
      <c r="I110" s="145"/>
      <c r="J110" s="144"/>
      <c r="K110" s="144"/>
      <c r="L110" s="145"/>
      <c r="M110" s="145"/>
    </row>
    <row r="111" spans="1:13" x14ac:dyDescent="0.25">
      <c r="A111" s="8"/>
      <c r="B111" s="72"/>
      <c r="C111" s="144"/>
      <c r="D111" s="144"/>
      <c r="E111" s="144"/>
      <c r="F111" s="144"/>
      <c r="G111" s="144"/>
      <c r="H111" s="145"/>
      <c r="I111" s="145"/>
      <c r="J111" s="144"/>
      <c r="K111" s="144"/>
      <c r="L111" s="145"/>
      <c r="M111" s="145"/>
    </row>
    <row r="112" spans="1:13" x14ac:dyDescent="0.25">
      <c r="A112" s="8"/>
      <c r="B112" s="72"/>
      <c r="C112" s="144"/>
      <c r="D112" s="144"/>
      <c r="E112" s="144"/>
      <c r="F112" s="144"/>
      <c r="G112" s="144"/>
      <c r="H112" s="145"/>
      <c r="I112" s="145"/>
      <c r="J112" s="144"/>
      <c r="K112" s="144"/>
      <c r="L112" s="145"/>
      <c r="M112" s="145"/>
    </row>
    <row r="113" spans="1:13" x14ac:dyDescent="0.25">
      <c r="A113" s="8"/>
      <c r="B113" s="72"/>
      <c r="C113" s="144"/>
      <c r="D113" s="144"/>
      <c r="E113" s="144"/>
      <c r="F113" s="144"/>
      <c r="G113" s="144"/>
      <c r="H113" s="145"/>
      <c r="I113" s="145"/>
      <c r="J113" s="144"/>
      <c r="K113" s="144"/>
      <c r="L113" s="145"/>
      <c r="M113" s="145"/>
    </row>
    <row r="114" spans="1:13" x14ac:dyDescent="0.25">
      <c r="A114" s="8"/>
      <c r="B114" s="72"/>
      <c r="C114" s="144"/>
      <c r="D114" s="144"/>
      <c r="E114" s="144"/>
      <c r="F114" s="144"/>
      <c r="G114" s="144"/>
      <c r="H114" s="145"/>
      <c r="I114" s="145"/>
      <c r="J114" s="144"/>
      <c r="K114" s="144"/>
      <c r="L114" s="145"/>
      <c r="M114" s="145"/>
    </row>
    <row r="115" spans="1:13" x14ac:dyDescent="0.25">
      <c r="A115" s="8"/>
      <c r="B115" s="72"/>
      <c r="C115" s="144"/>
      <c r="D115" s="144"/>
      <c r="E115" s="144"/>
      <c r="F115" s="144"/>
      <c r="G115" s="144"/>
      <c r="H115" s="145"/>
      <c r="I115" s="145"/>
      <c r="J115" s="144"/>
      <c r="K115" s="144"/>
      <c r="L115" s="145"/>
      <c r="M115" s="145"/>
    </row>
    <row r="116" spans="1:13" x14ac:dyDescent="0.25">
      <c r="A116" s="8"/>
      <c r="B116" s="72"/>
      <c r="C116" s="144"/>
      <c r="D116" s="144"/>
      <c r="E116" s="144"/>
      <c r="F116" s="144"/>
      <c r="G116" s="144"/>
      <c r="H116" s="145"/>
      <c r="I116" s="145"/>
      <c r="J116" s="144"/>
      <c r="K116" s="144"/>
      <c r="L116" s="145"/>
      <c r="M116" s="145"/>
    </row>
    <row r="117" spans="1:13" x14ac:dyDescent="0.25">
      <c r="A117" s="8"/>
      <c r="B117" s="72"/>
      <c r="C117" s="144"/>
      <c r="D117" s="144"/>
      <c r="E117" s="144"/>
      <c r="F117" s="144"/>
      <c r="G117" s="144"/>
      <c r="H117" s="145"/>
      <c r="I117" s="145"/>
    </row>
    <row r="118" spans="1:13" x14ac:dyDescent="0.25">
      <c r="A118" s="8"/>
      <c r="B118" s="72"/>
      <c r="C118" s="144"/>
      <c r="D118" s="144"/>
      <c r="E118" s="144"/>
      <c r="F118" s="144"/>
      <c r="G118" s="144"/>
      <c r="H118" s="145"/>
      <c r="I118" s="145"/>
    </row>
    <row r="119" spans="1:13" x14ac:dyDescent="0.25">
      <c r="A119" s="8"/>
      <c r="B119" s="72"/>
      <c r="C119" s="144"/>
      <c r="D119" s="144"/>
      <c r="E119" s="144"/>
      <c r="F119" s="144"/>
      <c r="G119" s="144"/>
      <c r="H119" s="145"/>
      <c r="I119" s="145"/>
    </row>
    <row r="120" spans="1:13" x14ac:dyDescent="0.25">
      <c r="A120" s="8"/>
      <c r="B120" s="72"/>
      <c r="C120" s="144"/>
      <c r="D120" s="144"/>
      <c r="E120" s="144"/>
      <c r="F120" s="144"/>
      <c r="G120" s="144"/>
      <c r="H120" s="145"/>
      <c r="I120" s="145"/>
    </row>
    <row r="315" spans="18:18" x14ac:dyDescent="0.25">
      <c r="R315" s="170"/>
    </row>
    <row r="361" spans="9:9" x14ac:dyDescent="0.25">
      <c r="I361" s="146"/>
    </row>
    <row r="362" spans="9:9" x14ac:dyDescent="0.25">
      <c r="I362" s="146"/>
    </row>
    <row r="363" spans="9:9" x14ac:dyDescent="0.25">
      <c r="I363" s="146"/>
    </row>
    <row r="496" spans="9:9" x14ac:dyDescent="0.25">
      <c r="I496" s="147"/>
    </row>
    <row r="497" spans="9:9" x14ac:dyDescent="0.25">
      <c r="I497" s="147"/>
    </row>
    <row r="498" spans="9:9" x14ac:dyDescent="0.25">
      <c r="I498" s="147"/>
    </row>
    <row r="499" spans="9:9" x14ac:dyDescent="0.25">
      <c r="I499" s="147"/>
    </row>
    <row r="500" spans="9:9" x14ac:dyDescent="0.25">
      <c r="I500" s="147"/>
    </row>
    <row r="501" spans="9:9" x14ac:dyDescent="0.25">
      <c r="I501" s="147"/>
    </row>
    <row r="502" spans="9:9" x14ac:dyDescent="0.25">
      <c r="I502" s="147"/>
    </row>
    <row r="503" spans="9:9" x14ac:dyDescent="0.25">
      <c r="I503" s="147"/>
    </row>
    <row r="504" spans="9:9" x14ac:dyDescent="0.25">
      <c r="I504" s="147"/>
    </row>
    <row r="758" spans="9:9" x14ac:dyDescent="0.25">
      <c r="I758" s="147"/>
    </row>
    <row r="759" spans="9:9" x14ac:dyDescent="0.25">
      <c r="I759" s="147"/>
    </row>
    <row r="760" spans="9:9" x14ac:dyDescent="0.25">
      <c r="I760" s="147"/>
    </row>
    <row r="761" spans="9:9" x14ac:dyDescent="0.25">
      <c r="I761" s="147"/>
    </row>
    <row r="762" spans="9:9" x14ac:dyDescent="0.25">
      <c r="I762" s="147"/>
    </row>
    <row r="763" spans="9:9" x14ac:dyDescent="0.25">
      <c r="I763" s="147"/>
    </row>
    <row r="764" spans="9:9" x14ac:dyDescent="0.25">
      <c r="I764" s="147"/>
    </row>
    <row r="765" spans="9:9" x14ac:dyDescent="0.25">
      <c r="I765" s="147"/>
    </row>
    <row r="766" spans="9:9" x14ac:dyDescent="0.25">
      <c r="I766" s="147"/>
    </row>
    <row r="767" spans="9:9" x14ac:dyDescent="0.25">
      <c r="I767" s="147"/>
    </row>
    <row r="768" spans="9:9" x14ac:dyDescent="0.25">
      <c r="I768" s="147"/>
    </row>
    <row r="769" spans="9:9" x14ac:dyDescent="0.25">
      <c r="I769" s="147"/>
    </row>
    <row r="1020" spans="9:9" x14ac:dyDescent="0.25">
      <c r="I1020" s="147"/>
    </row>
    <row r="1021" spans="9:9" x14ac:dyDescent="0.25">
      <c r="I1021" s="147"/>
    </row>
    <row r="1022" spans="9:9" x14ac:dyDescent="0.25">
      <c r="I1022" s="147"/>
    </row>
    <row r="1023" spans="9:9" x14ac:dyDescent="0.25">
      <c r="I1023" s="147"/>
    </row>
    <row r="1024" spans="9:9" x14ac:dyDescent="0.25">
      <c r="I1024" s="147"/>
    </row>
    <row r="1025" spans="9:9" x14ac:dyDescent="0.25">
      <c r="I1025" s="147"/>
    </row>
    <row r="1026" spans="9:9" x14ac:dyDescent="0.25">
      <c r="I1026" s="147"/>
    </row>
    <row r="1027" spans="9:9" x14ac:dyDescent="0.25">
      <c r="I1027" s="147"/>
    </row>
    <row r="1028" spans="9:9" x14ac:dyDescent="0.25">
      <c r="I1028" s="147"/>
    </row>
    <row r="1191" spans="9:9" x14ac:dyDescent="0.25">
      <c r="I1191" s="147"/>
    </row>
    <row r="1192" spans="9:9" x14ac:dyDescent="0.25">
      <c r="I1192" s="147"/>
    </row>
    <row r="1193" spans="9:9" x14ac:dyDescent="0.25">
      <c r="I1193" s="147"/>
    </row>
    <row r="1194" spans="9:9" x14ac:dyDescent="0.25">
      <c r="I1194" s="147"/>
    </row>
    <row r="1195" spans="9:9" x14ac:dyDescent="0.25">
      <c r="I1195" s="147"/>
    </row>
    <row r="1196" spans="9:9" x14ac:dyDescent="0.25">
      <c r="I1196" s="147"/>
    </row>
    <row r="1197" spans="9:9" x14ac:dyDescent="0.25">
      <c r="I1197" s="147"/>
    </row>
    <row r="1198" spans="9:9" x14ac:dyDescent="0.25">
      <c r="I1198" s="147"/>
    </row>
    <row r="1199" spans="9:9" x14ac:dyDescent="0.25">
      <c r="I1199" s="147"/>
    </row>
    <row r="1200" spans="9:9" x14ac:dyDescent="0.25">
      <c r="I1200" s="147"/>
    </row>
    <row r="1201" spans="9:9" x14ac:dyDescent="0.25">
      <c r="I1201" s="147"/>
    </row>
    <row r="1202" spans="9:9" x14ac:dyDescent="0.25">
      <c r="I1202" s="147"/>
    </row>
  </sheetData>
  <sheetProtection algorithmName="SHA-512" hashValue="McFd+fDX8dDUChyJBlXkoNC/lAt7GBlnFBI5abKzQThXSL01CvAY4TZ9esfgSclE/oSiS7iitQypnkU0u946Lw==" saltValue="jx5KBUG7WW+gZU8I/F7Hqw==" spinCount="100000" sheet="1" objects="1" scenarios="1"/>
  <dataValidations count="1">
    <dataValidation type="list" allowBlank="1" showInputMessage="1" showErrorMessage="1" sqref="C4 C49" xr:uid="{00000000-0002-0000-0300-000000000000}">
      <formula1>$C$73:$C$74</formula1>
    </dataValidation>
  </dataValidations>
  <printOptions gridLines="1"/>
  <pageMargins left="0.7" right="0.7" top="0.75" bottom="0.75" header="0.3" footer="0.3"/>
  <pageSetup scale="24"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B67"/>
  <sheetViews>
    <sheetView topLeftCell="A37" zoomScale="85" zoomScaleNormal="85" workbookViewId="0">
      <selection activeCell="J25" sqref="J25"/>
    </sheetView>
  </sheetViews>
  <sheetFormatPr defaultColWidth="8.85546875" defaultRowHeight="15" x14ac:dyDescent="0.25"/>
  <cols>
    <col min="1" max="1" width="8.85546875" style="8"/>
    <col min="2" max="2" width="26.28515625" style="8" customWidth="1"/>
    <col min="3" max="3" width="12.5703125" style="8" customWidth="1"/>
    <col min="4" max="4" width="12.7109375" style="8" customWidth="1"/>
    <col min="5" max="5" width="28.140625" style="8" customWidth="1"/>
    <col min="6" max="6" width="18" style="8" customWidth="1"/>
    <col min="7" max="7" width="13.28515625" style="8" customWidth="1"/>
    <col min="8" max="8" width="18.7109375" style="8" customWidth="1"/>
    <col min="9" max="9" width="17.7109375" style="8" customWidth="1"/>
    <col min="10" max="11" width="4.7109375" style="8" customWidth="1"/>
    <col min="12" max="12" width="5.140625" style="8" customWidth="1"/>
    <col min="13" max="13" width="4.85546875" style="8" customWidth="1"/>
    <col min="14" max="14" width="9.140625" style="8"/>
    <col min="15" max="28" width="8.85546875" style="8"/>
    <col min="29" max="16384" width="8.85546875" style="2"/>
  </cols>
  <sheetData>
    <row r="1" spans="1:23" ht="31.5" x14ac:dyDescent="0.5">
      <c r="A1" s="233" t="s">
        <v>187</v>
      </c>
      <c r="B1" s="233"/>
      <c r="C1" s="233"/>
      <c r="D1" s="233"/>
      <c r="E1" s="233"/>
      <c r="F1" s="233"/>
      <c r="G1" s="233"/>
      <c r="H1" s="233"/>
      <c r="I1" s="233"/>
      <c r="J1" s="233"/>
      <c r="K1" s="233"/>
      <c r="L1" s="233"/>
      <c r="M1" s="233"/>
    </row>
    <row r="4" spans="1:23" ht="18.75" x14ac:dyDescent="0.3">
      <c r="A4" s="81" t="s">
        <v>106</v>
      </c>
      <c r="B4" s="81"/>
      <c r="C4" s="81"/>
      <c r="F4" s="81" t="s">
        <v>107</v>
      </c>
      <c r="Q4" s="30" t="s">
        <v>114</v>
      </c>
    </row>
    <row r="5" spans="1:23" x14ac:dyDescent="0.25">
      <c r="D5" s="9" t="s">
        <v>171</v>
      </c>
      <c r="P5" s="31" t="s">
        <v>171</v>
      </c>
      <c r="Q5" s="8" t="s">
        <v>173</v>
      </c>
    </row>
    <row r="6" spans="1:23" x14ac:dyDescent="0.25">
      <c r="A6" s="13">
        <f>Standards_Data!$D$4</f>
        <v>0</v>
      </c>
      <c r="B6" s="82" t="s">
        <v>64</v>
      </c>
      <c r="C6" s="78" t="e">
        <f>Standards_Data!$M$7</f>
        <v>#DIV/0!</v>
      </c>
      <c r="D6" s="78" t="e">
        <f>Standards_Data!$M$8</f>
        <v>#DIV/0!</v>
      </c>
      <c r="P6" s="33" t="s">
        <v>39</v>
      </c>
      <c r="Q6" s="8" t="s">
        <v>174</v>
      </c>
    </row>
    <row r="7" spans="1:23" ht="17.25" x14ac:dyDescent="0.25">
      <c r="B7" s="82" t="s">
        <v>65</v>
      </c>
      <c r="C7" s="78" t="e">
        <f>Standards_Data!$M$11</f>
        <v>#DIV/0!</v>
      </c>
      <c r="D7" s="78" t="e">
        <f>Standards_Data!$M$12</f>
        <v>#DIV/0!</v>
      </c>
      <c r="P7" s="31" t="s">
        <v>138</v>
      </c>
      <c r="Q7" s="8" t="s">
        <v>175</v>
      </c>
    </row>
    <row r="8" spans="1:23" x14ac:dyDescent="0.25">
      <c r="B8" s="83" t="s">
        <v>39</v>
      </c>
      <c r="C8" s="78" t="e">
        <f>Standards_Data!$M$19</f>
        <v>#DIV/0!</v>
      </c>
      <c r="D8" s="61"/>
      <c r="P8" s="31" t="s">
        <v>24</v>
      </c>
      <c r="Q8" s="8" t="s">
        <v>132</v>
      </c>
    </row>
    <row r="9" spans="1:23" ht="17.25" x14ac:dyDescent="0.25">
      <c r="B9" s="19" t="s">
        <v>59</v>
      </c>
      <c r="C9" s="119" t="e">
        <f>Standards_Data!$M$15</f>
        <v>#DIV/0!</v>
      </c>
      <c r="D9" s="61"/>
      <c r="P9" s="31" t="s">
        <v>60</v>
      </c>
      <c r="Q9" s="8" t="s">
        <v>176</v>
      </c>
    </row>
    <row r="10" spans="1:23" x14ac:dyDescent="0.25">
      <c r="B10" s="82" t="s">
        <v>24</v>
      </c>
      <c r="C10" s="78" t="e">
        <f>Standards_Data!$M$22</f>
        <v>#DIV/0!</v>
      </c>
      <c r="D10" s="61"/>
      <c r="P10" s="31" t="s">
        <v>172</v>
      </c>
      <c r="Q10" s="8" t="s">
        <v>177</v>
      </c>
      <c r="W10" s="31"/>
    </row>
    <row r="11" spans="1:23" ht="18" x14ac:dyDescent="0.35">
      <c r="B11" s="82" t="s">
        <v>200</v>
      </c>
      <c r="C11" s="78" t="e">
        <f>(C10 -C7)/C6</f>
        <v>#DIV/0!</v>
      </c>
      <c r="P11" s="31" t="s">
        <v>178</v>
      </c>
      <c r="Q11" s="8" t="s">
        <v>179</v>
      </c>
      <c r="W11" s="31"/>
    </row>
    <row r="12" spans="1:23" x14ac:dyDescent="0.25">
      <c r="B12" s="82" t="s">
        <v>60</v>
      </c>
      <c r="C12" s="84" t="e">
        <f>Standards_Data!$M$24</f>
        <v>#DIV/0!</v>
      </c>
      <c r="D12" s="9"/>
      <c r="P12" s="31" t="s">
        <v>14</v>
      </c>
      <c r="Q12" s="8" t="s">
        <v>147</v>
      </c>
      <c r="W12" s="31"/>
    </row>
    <row r="13" spans="1:23" ht="18" x14ac:dyDescent="0.35">
      <c r="B13" s="82" t="s">
        <v>238</v>
      </c>
      <c r="C13" s="119">
        <f>MIN(Standards_Data!$F$10:'Standards_Data'!$F$24)</f>
        <v>0</v>
      </c>
      <c r="D13" s="119">
        <f>MAX(Standards_Data!$F$10:'Standards_Data'!$F$24)</f>
        <v>0</v>
      </c>
      <c r="P13" s="31" t="s">
        <v>220</v>
      </c>
      <c r="Q13" s="8" t="s">
        <v>222</v>
      </c>
      <c r="W13" s="31"/>
    </row>
    <row r="14" spans="1:23" ht="18" x14ac:dyDescent="0.35">
      <c r="B14" s="82" t="s">
        <v>239</v>
      </c>
      <c r="C14" s="119">
        <f>MIN(Standards_Data!$F$10:'Standards_Data'!$F$24)</f>
        <v>0</v>
      </c>
      <c r="D14" s="119" t="e">
        <f>Standards_Data!$M$16</f>
        <v>#DIV/0!</v>
      </c>
      <c r="P14" s="31" t="s">
        <v>58</v>
      </c>
      <c r="Q14" s="8" t="s">
        <v>150</v>
      </c>
    </row>
    <row r="15" spans="1:23" x14ac:dyDescent="0.25">
      <c r="P15" s="31" t="s">
        <v>27</v>
      </c>
      <c r="Q15" s="8" t="s">
        <v>180</v>
      </c>
    </row>
    <row r="16" spans="1:23" x14ac:dyDescent="0.25">
      <c r="P16" s="31" t="s">
        <v>208</v>
      </c>
      <c r="Q16" s="8" t="s">
        <v>211</v>
      </c>
    </row>
    <row r="18" spans="1:16" x14ac:dyDescent="0.25">
      <c r="B18" s="50"/>
    </row>
    <row r="19" spans="1:16" x14ac:dyDescent="0.25">
      <c r="P19" s="31"/>
    </row>
    <row r="20" spans="1:16" x14ac:dyDescent="0.25">
      <c r="P20" s="31"/>
    </row>
    <row r="21" spans="1:16" ht="18.75" x14ac:dyDescent="0.3">
      <c r="A21" s="81" t="s">
        <v>108</v>
      </c>
    </row>
    <row r="23" spans="1:16" x14ac:dyDescent="0.25">
      <c r="B23" s="86" t="s">
        <v>33</v>
      </c>
      <c r="C23" s="86" t="s">
        <v>32</v>
      </c>
      <c r="D23" s="86" t="s">
        <v>19</v>
      </c>
      <c r="E23" s="86" t="s">
        <v>51</v>
      </c>
      <c r="F23" s="86" t="s">
        <v>34</v>
      </c>
      <c r="G23" s="86" t="s">
        <v>35</v>
      </c>
      <c r="P23" s="31"/>
    </row>
    <row r="24" spans="1:16" ht="17.25" x14ac:dyDescent="0.25">
      <c r="B24" s="232" t="s">
        <v>36</v>
      </c>
      <c r="C24" s="87" t="s">
        <v>59</v>
      </c>
      <c r="D24" s="126">
        <f>Standards_Data!$D$4</f>
        <v>0</v>
      </c>
      <c r="E24" s="89" t="s">
        <v>231</v>
      </c>
      <c r="F24" s="214" t="e">
        <f>Standards_Data!$M$15</f>
        <v>#DIV/0!</v>
      </c>
      <c r="G24" s="88" t="e">
        <f>Standards_Data!$M$21</f>
        <v>#DIV/0!</v>
      </c>
      <c r="P24" s="31"/>
    </row>
    <row r="25" spans="1:16" x14ac:dyDescent="0.25">
      <c r="B25" s="232"/>
      <c r="C25" s="126" t="s">
        <v>39</v>
      </c>
      <c r="D25" s="126">
        <f>Standards_Data!$D$4</f>
        <v>0</v>
      </c>
      <c r="E25" s="91" t="s">
        <v>42</v>
      </c>
      <c r="F25" s="90" t="e">
        <f>Standards_Data!$M$19</f>
        <v>#DIV/0!</v>
      </c>
      <c r="G25" s="88" t="e">
        <f>Standards_Data!$M$20</f>
        <v>#DIV/0!</v>
      </c>
      <c r="P25" s="31"/>
    </row>
    <row r="26" spans="1:16" x14ac:dyDescent="0.25">
      <c r="B26" s="232" t="s">
        <v>37</v>
      </c>
      <c r="C26" s="232" t="s">
        <v>14</v>
      </c>
      <c r="D26" s="126">
        <f>Standards_Data!$D$4</f>
        <v>0</v>
      </c>
      <c r="E26" s="91" t="s">
        <v>199</v>
      </c>
      <c r="F26" s="88" t="e">
        <f>SUM(Standards_Data!$I$4:$I$9)</f>
        <v>#DIV/0!</v>
      </c>
      <c r="G26" s="88" t="e">
        <f>Standards_Data!$M$6</f>
        <v>#DIV/0!</v>
      </c>
    </row>
    <row r="27" spans="1:16" x14ac:dyDescent="0.25">
      <c r="B27" s="232"/>
      <c r="C27" s="232"/>
      <c r="D27" s="126" t="s">
        <v>20</v>
      </c>
      <c r="E27" s="91" t="s">
        <v>197</v>
      </c>
      <c r="F27" s="88">
        <f>SUM(Sketa22_Data!$F$18:$F$26)</f>
        <v>0</v>
      </c>
      <c r="G27" s="88" t="str">
        <f>Sketa22_Data!$G$18</f>
        <v>fail</v>
      </c>
    </row>
    <row r="28" spans="1:16" x14ac:dyDescent="0.25">
      <c r="B28" s="232"/>
      <c r="C28" s="126" t="s">
        <v>220</v>
      </c>
      <c r="D28" s="126">
        <f>Standards_Data!$D$4</f>
        <v>0</v>
      </c>
      <c r="E28" s="91" t="s">
        <v>198</v>
      </c>
      <c r="F28" s="88" t="e">
        <f>SUM(Standards_Data!$G$30:$G$38)</f>
        <v>#DIV/0!</v>
      </c>
      <c r="G28" s="88" t="e">
        <f>Standards_Data!$H$30</f>
        <v>#DIV/0!</v>
      </c>
    </row>
    <row r="29" spans="1:16" ht="45" customHeight="1" x14ac:dyDescent="0.25">
      <c r="B29" s="232" t="s">
        <v>38</v>
      </c>
      <c r="C29" s="126" t="s">
        <v>40</v>
      </c>
      <c r="D29" s="126">
        <f>Standards_Data!$D$4</f>
        <v>0</v>
      </c>
      <c r="E29" s="91" t="s">
        <v>62</v>
      </c>
      <c r="F29" s="90" t="e">
        <f>Standards_Data!$M$5</f>
        <v>#DIV/0!</v>
      </c>
      <c r="G29" s="88" t="e">
        <f>IF($F$29&lt;Standards_Data!$M$23,"pass","fail")</f>
        <v>#DIV/0!</v>
      </c>
    </row>
    <row r="30" spans="1:16" ht="30" x14ac:dyDescent="0.25">
      <c r="B30" s="232"/>
      <c r="C30" s="126" t="s">
        <v>31</v>
      </c>
      <c r="D30" s="126" t="s">
        <v>20</v>
      </c>
      <c r="E30" s="91" t="s">
        <v>43</v>
      </c>
      <c r="F30" s="90" t="e">
        <f>Sketa22_Data!$O$5</f>
        <v>#DIV/0!</v>
      </c>
      <c r="G30" s="88" t="e">
        <f>Sketa22_Data!$O$6</f>
        <v>#DIV/0!</v>
      </c>
    </row>
    <row r="31" spans="1:16" x14ac:dyDescent="0.25">
      <c r="B31" s="183"/>
      <c r="C31" s="183"/>
      <c r="D31" s="183"/>
      <c r="E31" s="184"/>
      <c r="F31" s="185"/>
      <c r="G31" s="186"/>
    </row>
    <row r="33" spans="1:6" ht="18.75" x14ac:dyDescent="0.3">
      <c r="A33" s="81" t="s">
        <v>109</v>
      </c>
      <c r="F33" s="81" t="s">
        <v>110</v>
      </c>
    </row>
    <row r="35" spans="1:6" x14ac:dyDescent="0.25">
      <c r="A35" s="86" t="s">
        <v>19</v>
      </c>
      <c r="B35" s="86" t="s">
        <v>52</v>
      </c>
      <c r="C35" s="86" t="s">
        <v>34</v>
      </c>
    </row>
    <row r="36" spans="1:6" x14ac:dyDescent="0.25">
      <c r="A36" s="92">
        <f>Standards_Data!$D$4</f>
        <v>0</v>
      </c>
      <c r="B36" s="82" t="s">
        <v>53</v>
      </c>
      <c r="C36" s="78" t="e">
        <f>Standards_Data!$M$5</f>
        <v>#DIV/0!</v>
      </c>
    </row>
    <row r="37" spans="1:6" x14ac:dyDescent="0.25">
      <c r="A37" s="92"/>
      <c r="B37" s="82" t="s">
        <v>54</v>
      </c>
      <c r="C37" s="78" t="e">
        <f>Standards_Data!$M$18</f>
        <v>#DIV/0!</v>
      </c>
    </row>
    <row r="38" spans="1:6" x14ac:dyDescent="0.25">
      <c r="A38" s="92"/>
      <c r="B38" s="82" t="s">
        <v>55</v>
      </c>
      <c r="C38" s="78" t="e">
        <f>Standards_Data!$M$17</f>
        <v>#DIV/0!</v>
      </c>
    </row>
    <row r="39" spans="1:6" x14ac:dyDescent="0.25">
      <c r="A39" s="92"/>
      <c r="B39" s="92"/>
      <c r="C39" s="78"/>
    </row>
    <row r="40" spans="1:6" x14ac:dyDescent="0.25">
      <c r="A40" s="92" t="s">
        <v>20</v>
      </c>
      <c r="B40" s="82" t="s">
        <v>56</v>
      </c>
      <c r="C40" s="78" t="e">
        <f>Sketa22_Data!$O$5</f>
        <v>#DIV/0!</v>
      </c>
    </row>
    <row r="41" spans="1:6" x14ac:dyDescent="0.25">
      <c r="A41" s="92"/>
      <c r="B41" s="82" t="s">
        <v>57</v>
      </c>
      <c r="C41" s="78" t="e">
        <f>Sketa22_Data!O$4+3*Sketa22_Data!O$5</f>
        <v>#DIV/0!</v>
      </c>
    </row>
    <row r="42" spans="1:6" x14ac:dyDescent="0.25">
      <c r="A42" s="92"/>
      <c r="B42" s="82" t="s">
        <v>50</v>
      </c>
      <c r="C42" s="78" t="e">
        <f>Sketa22_Data!O$4+3.3</f>
        <v>#DIV/0!</v>
      </c>
    </row>
    <row r="55" spans="1:7" ht="15.75" x14ac:dyDescent="0.25">
      <c r="A55" s="2"/>
      <c r="B55" s="93"/>
    </row>
    <row r="56" spans="1:7" ht="18.75" x14ac:dyDescent="0.3">
      <c r="A56" s="81" t="s">
        <v>111</v>
      </c>
      <c r="B56" s="93"/>
      <c r="G56" s="2"/>
    </row>
    <row r="57" spans="1:7" x14ac:dyDescent="0.25">
      <c r="G57" s="2"/>
    </row>
    <row r="58" spans="1:7" ht="18" x14ac:dyDescent="0.35">
      <c r="A58" s="86" t="s">
        <v>19</v>
      </c>
      <c r="B58" s="86" t="s">
        <v>58</v>
      </c>
      <c r="C58" s="86" t="s">
        <v>27</v>
      </c>
      <c r="D58" s="94" t="s">
        <v>208</v>
      </c>
      <c r="E58" s="86" t="s">
        <v>104</v>
      </c>
      <c r="F58" s="86" t="s">
        <v>41</v>
      </c>
      <c r="G58" s="2"/>
    </row>
    <row r="59" spans="1:7" x14ac:dyDescent="0.25">
      <c r="A59" s="92">
        <f>Standards_Data!$D$4</f>
        <v>0</v>
      </c>
      <c r="B59" s="92" t="str">
        <f>IF(Samples_Data!$E$4=0," ",Samples_Data!$E$4)</f>
        <v xml:space="preserve"> </v>
      </c>
      <c r="C59" s="85" t="str">
        <f>IF(B59=" "," ",Samples_Data!$AA$4)</f>
        <v xml:space="preserve"> </v>
      </c>
      <c r="D59" s="78" t="str">
        <f>IF(B59=" "," ",IF(C59=0,"*QA Fail",Samples_Data!$AJ$4))</f>
        <v xml:space="preserve"> </v>
      </c>
      <c r="E59" s="78" t="str">
        <f>Samples_Data!$Y$4</f>
        <v xml:space="preserve"> </v>
      </c>
      <c r="F59" s="119" t="str">
        <f>Samples_Data!$Z$4</f>
        <v xml:space="preserve"> </v>
      </c>
      <c r="G59" s="2"/>
    </row>
    <row r="60" spans="1:7" x14ac:dyDescent="0.25">
      <c r="A60" s="92"/>
      <c r="B60" s="92" t="str">
        <f>IF(Samples_Data!$E$13=0," ",Samples_Data!$E$13)</f>
        <v xml:space="preserve"> </v>
      </c>
      <c r="C60" s="85" t="str">
        <f>IF(B60=" "," ",Samples_Data!$AA$13)</f>
        <v xml:space="preserve"> </v>
      </c>
      <c r="D60" s="78" t="str">
        <f>IF(B60=" "," ",IF(C60=0,"*QA Fail",Samples_Data!$AJ$13))</f>
        <v xml:space="preserve"> </v>
      </c>
      <c r="E60" s="78" t="str">
        <f>Samples_Data!$Y$13</f>
        <v xml:space="preserve"> </v>
      </c>
      <c r="F60" s="119" t="str">
        <f>Samples_Data!$Z$13</f>
        <v xml:space="preserve"> </v>
      </c>
      <c r="G60" s="2"/>
    </row>
    <row r="61" spans="1:7" x14ac:dyDescent="0.25">
      <c r="A61" s="92"/>
      <c r="B61" s="92" t="str">
        <f>IF(Samples_Data!$E$22=0," ",Samples_Data!$E$22)</f>
        <v xml:space="preserve"> </v>
      </c>
      <c r="C61" s="85" t="str">
        <f>IF(B61=" "," ",Samples_Data!$AA$22)</f>
        <v xml:space="preserve"> </v>
      </c>
      <c r="D61" s="78" t="str">
        <f>IF(B61=" "," ",IF(C61=0,"*QA Fail",Samples_Data!$AJ$22))</f>
        <v xml:space="preserve"> </v>
      </c>
      <c r="E61" s="78" t="str">
        <f>Samples_Data!$Y$22</f>
        <v xml:space="preserve"> </v>
      </c>
      <c r="F61" s="119" t="str">
        <f>Samples_Data!$Z$22</f>
        <v xml:space="preserve"> </v>
      </c>
      <c r="G61" s="2"/>
    </row>
    <row r="62" spans="1:7" x14ac:dyDescent="0.25">
      <c r="A62" s="92"/>
      <c r="B62" s="92" t="str">
        <f>IF(Samples_Data!$E$31=0," ",Samples_Data!$E$31)</f>
        <v xml:space="preserve"> </v>
      </c>
      <c r="C62" s="85" t="str">
        <f>IF(B62=" "," ",Samples_Data!$AA$31)</f>
        <v xml:space="preserve"> </v>
      </c>
      <c r="D62" s="78" t="str">
        <f>IF(B62=" "," ",IF(C62=0,"*QA Fail",Samples_Data!$AJ$31))</f>
        <v xml:space="preserve"> </v>
      </c>
      <c r="E62" s="78" t="str">
        <f>Samples_Data!$Y$31</f>
        <v xml:space="preserve"> </v>
      </c>
      <c r="F62" s="119" t="str">
        <f>Samples_Data!$Z$31</f>
        <v xml:space="preserve"> </v>
      </c>
      <c r="G62" s="2"/>
    </row>
    <row r="63" spans="1:7" x14ac:dyDescent="0.25">
      <c r="A63" s="92"/>
      <c r="B63" s="92" t="str">
        <f>IF(Samples_Data!$E$40=0," ",Samples_Data!$E$40)</f>
        <v xml:space="preserve"> </v>
      </c>
      <c r="C63" s="85" t="str">
        <f>IF(B63=" "," ",Samples_Data!$AA$40)</f>
        <v xml:space="preserve"> </v>
      </c>
      <c r="D63" s="78" t="str">
        <f>IF(B63=" "," ",IF(C63=0,"*QA Fail",Samples_Data!$AJ$40))</f>
        <v xml:space="preserve"> </v>
      </c>
      <c r="E63" s="78" t="str">
        <f>Samples_Data!$Y$40</f>
        <v xml:space="preserve"> </v>
      </c>
      <c r="F63" s="119" t="str">
        <f>Samples_Data!$Z$40</f>
        <v xml:space="preserve"> </v>
      </c>
      <c r="G63" s="2"/>
    </row>
    <row r="64" spans="1:7" x14ac:dyDescent="0.25">
      <c r="A64" s="92"/>
      <c r="B64" s="92" t="str">
        <f>IF(Samples_Data!$E$49=0," ",Samples_Data!$E$49)</f>
        <v xml:space="preserve"> </v>
      </c>
      <c r="C64" s="85" t="str">
        <f>IF(B64=" "," ",Samples_Data!$AA$49)</f>
        <v xml:space="preserve"> </v>
      </c>
      <c r="D64" s="78" t="str">
        <f>IF(B64=" "," ",IF(C64=0,"*QA Fail",Samples_Data!$AJ$49))</f>
        <v xml:space="preserve"> </v>
      </c>
      <c r="E64" s="78" t="str">
        <f>Samples_Data!$Y$49</f>
        <v xml:space="preserve"> </v>
      </c>
      <c r="F64" s="119" t="str">
        <f>Samples_Data!$Z$49</f>
        <v xml:space="preserve"> </v>
      </c>
      <c r="G64" s="2"/>
    </row>
    <row r="65" spans="1:7" x14ac:dyDescent="0.25">
      <c r="A65" s="92"/>
      <c r="B65" s="92" t="str">
        <f>IF(Samples_Data!$E$58=0," ",Samples_Data!$E$58)</f>
        <v xml:space="preserve"> </v>
      </c>
      <c r="C65" s="85" t="str">
        <f>IF(B65=" "," ",Samples_Data!$AA$58)</f>
        <v xml:space="preserve"> </v>
      </c>
      <c r="D65" s="78" t="str">
        <f>IF(B65=" "," ",IF(C65=0,"*QA Fail",Samples_Data!$AJ$58))</f>
        <v xml:space="preserve"> </v>
      </c>
      <c r="E65" s="78" t="str">
        <f>Samples_Data!$Y$58</f>
        <v xml:space="preserve"> </v>
      </c>
      <c r="F65" s="119" t="str">
        <f>Samples_Data!$Z$58</f>
        <v xml:space="preserve"> </v>
      </c>
      <c r="G65" s="2"/>
    </row>
    <row r="66" spans="1:7" x14ac:dyDescent="0.25">
      <c r="A66" s="8" t="s">
        <v>212</v>
      </c>
      <c r="G66" s="2"/>
    </row>
    <row r="67" spans="1:7" x14ac:dyDescent="0.25">
      <c r="G67" s="2"/>
    </row>
  </sheetData>
  <sheetProtection algorithmName="SHA-512" hashValue="0cWj7iU/SvpqwJt2BgZh9CpIiIdaxr/ScQ6PAheKhqFTO595UDqljinClGYMGgd9E7CDFg2HxiqWES4akSCmCQ==" saltValue="AQYlM4bg5iOwnopS3Qj/GQ==" spinCount="100000" sheet="1" objects="1" scenarios="1"/>
  <mergeCells count="5">
    <mergeCell ref="B24:B25"/>
    <mergeCell ref="B26:B28"/>
    <mergeCell ref="C26:C27"/>
    <mergeCell ref="B29:B30"/>
    <mergeCell ref="A1:M1"/>
  </mergeCells>
  <printOptions gridLines="1"/>
  <pageMargins left="0.7" right="0.7" top="0.75" bottom="0.75" header="0.3" footer="0.3"/>
  <pageSetup scale="3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ermInfo xmlns="http://schemas.microsoft.com/office/infopath/2007/PartnerControls">
          <TermName xmlns="http://schemas.microsoft.com/office/infopath/2007/PartnerControls">laboratory test procedure</TermName>
          <TermId xmlns="http://schemas.microsoft.com/office/infopath/2007/PartnerControls">af7ac288-0fb7-45a1-94cc-9d3f56cea84a</TermId>
        </TermInfo>
        <TermInfo xmlns="http://schemas.microsoft.com/office/infopath/2007/PartnerControls">
          <TermName xmlns="http://schemas.microsoft.com/office/infopath/2007/PartnerControls">Microbial Source Tracking</TermName>
          <TermId xmlns="http://schemas.microsoft.com/office/infopath/2007/PartnerControls">444e5a7e-d360-4954-8a24-6022ef1e543f</TermId>
        </TermInfo>
        <TermInfo xmlns="http://schemas.microsoft.com/office/infopath/2007/PartnerControls">
          <TermName xmlns="http://schemas.microsoft.com/office/infopath/2007/PartnerControls">MST</TermName>
          <TermId xmlns="http://schemas.microsoft.com/office/infopath/2007/PartnerControls">e39ac017-76e2-4eab-98cc-057dd1827efb</TermId>
        </TermInfo>
        <TermInfo xmlns="http://schemas.microsoft.com/office/infopath/2007/PartnerControls">
          <TermName xmlns="http://schemas.microsoft.com/office/infopath/2007/PartnerControls">HF183</TermName>
          <TermId xmlns="http://schemas.microsoft.com/office/infopath/2007/PartnerControls">0c5ba9c8-e989-4358-a07e-0103b41ba063</TermId>
        </TermInfo>
        <TermInfo xmlns="http://schemas.microsoft.com/office/infopath/2007/PartnerControls">
          <TermName xmlns="http://schemas.microsoft.com/office/infopath/2007/PartnerControls">Wastewater</TermName>
          <TermId xmlns="http://schemas.microsoft.com/office/infopath/2007/PartnerControls">11111111-1111-1111-1111-111111111111</TermId>
        </TermInfo>
      </Terms>
    </TaxKeywordTaxHTField>
    <Records_x0020_Status xmlns="55e60805-85e4-4338-92f5-4f6675d690cd">Pending</Records_x0020_Status>
    <Records_x0020_Date xmlns="55e60805-85e4-4338-92f5-4f6675d690cd" xsi:nil="true"/>
    <Record xmlns="4ffa91fb-a0ff-4ac5-b2db-65c790d184a4">Shared</Record>
    <Rights xmlns="4ffa91fb-a0ff-4ac5-b2db-65c790d184a4" xsi:nil="true"/>
    <Document_x0020_Creation_x0020_Date xmlns="4ffa91fb-a0ff-4ac5-b2db-65c790d184a4">2021-06-28T15:30:26+00:00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DFE9E112FB5B149AC6E9ACE885140AC" ma:contentTypeVersion="37" ma:contentTypeDescription="Create a new document." ma:contentTypeScope="" ma:versionID="12b9afa02dc4efa3bb0f5008ef553678">
  <xsd:schema xmlns:xsd="http://www.w3.org/2001/XMLSchema" xmlns:xs="http://www.w3.org/2001/XMLSchema" xmlns:p="http://schemas.microsoft.com/office/2006/metadata/properties" xmlns:ns1="http://schemas.microsoft.com/sharepoint/v3" xmlns:ns3="4ffa91fb-a0ff-4ac5-b2db-65c790d184a4" xmlns:ns4="http://schemas.microsoft.com/sharepoint.v3" xmlns:ns5="http://schemas.microsoft.com/sharepoint/v3/fields" xmlns:ns6="55e60805-85e4-4338-92f5-4f6675d690cd" xmlns:ns7="b25b6c43-bd1a-413d-981d-df035846fcf1" targetNamespace="http://schemas.microsoft.com/office/2006/metadata/properties" ma:root="true" ma:fieldsID="3caac28e3ef900905388cbe2c5a20bc9" ns1:_="" ns3:_="" ns4:_="" ns5:_="" ns6:_="" ns7:_="">
    <xsd:import namespace="http://schemas.microsoft.com/sharepoint/v3"/>
    <xsd:import namespace="4ffa91fb-a0ff-4ac5-b2db-65c790d184a4"/>
    <xsd:import namespace="http://schemas.microsoft.com/sharepoint.v3"/>
    <xsd:import namespace="http://schemas.microsoft.com/sharepoint/v3/fields"/>
    <xsd:import namespace="55e60805-85e4-4338-92f5-4f6675d690cd"/>
    <xsd:import namespace="b25b6c43-bd1a-413d-981d-df035846fcf1"/>
    <xsd:element name="properties">
      <xsd:complexType>
        <xsd:sequence>
          <xsd:element name="documentManagement">
            <xsd:complexType>
              <xsd:all>
                <xsd:element ref="ns3:Document_x0020_Creation_x0020_Date" minOccurs="0"/>
                <xsd:element ref="ns3:Creator" minOccurs="0"/>
                <xsd:element ref="ns3:EPA_x0020_Office" minOccurs="0"/>
                <xsd:element ref="ns3:Record" minOccurs="0"/>
                <xsd:element ref="ns4:CategoryDescription" minOccurs="0"/>
                <xsd:element ref="ns3:Identifier" minOccurs="0"/>
                <xsd:element ref="ns3:EPA_x0020_Contributor" minOccurs="0"/>
                <xsd:element ref="ns3:External_x0020_Contributor" minOccurs="0"/>
                <xsd:element ref="ns5:_Coverage" minOccurs="0"/>
                <xsd:element ref="ns3:EPA_x0020_Related_x0020_Documents" minOccurs="0"/>
                <xsd:element ref="ns5:_Source" minOccurs="0"/>
                <xsd:element ref="ns3:Rights" minOccurs="0"/>
                <xsd:element ref="ns1:Language" minOccurs="0"/>
                <xsd:element ref="ns3:j747ac98061d40f0aa7bd47e1db5675d" minOccurs="0"/>
                <xsd:element ref="ns3:TaxKeywordTaxHTField" minOccurs="0"/>
                <xsd:element ref="ns3:TaxCatchAllLabel" minOccurs="0"/>
                <xsd:element ref="ns3:TaxCatchAll" minOccurs="0"/>
                <xsd:element ref="ns6:Records_x0020_Status" minOccurs="0"/>
                <xsd:element ref="ns6:Records_x0020_Date" minOccurs="0"/>
                <xsd:element ref="ns7:MediaServiceMetadata" minOccurs="0"/>
                <xsd:element ref="ns7:MediaServiceFastMetadata" minOccurs="0"/>
                <xsd:element ref="ns7:MediaServiceAutoTags" minOccurs="0"/>
                <xsd:element ref="ns7:MediaServiceOCR" minOccurs="0"/>
                <xsd:element ref="ns7:MediaServiceGenerationTime" minOccurs="0"/>
                <xsd:element ref="ns7:MediaServiceEventHashCode" minOccurs="0"/>
                <xsd:element ref="ns7:MediaServiceDateTaken" minOccurs="0"/>
                <xsd:element ref="ns7:MediaServiceLocation" minOccurs="0"/>
                <xsd:element ref="ns7:MediaServiceAutoKeyPoints" minOccurs="0"/>
                <xsd:element ref="ns7:MediaServiceKeyPoints" minOccurs="0"/>
                <xsd:element ref="ns6:SharedWithUsers" minOccurs="0"/>
                <xsd:element ref="ns6:SharedWithDetails" minOccurs="0"/>
                <xsd:element ref="ns6: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008d21c4-8a05-4a45-a881-623fa43da748}" ma:internalName="TaxCatchAllLabel" ma:readOnly="true" ma:showField="CatchAllDataLabel" ma:web="55e60805-85e4-4338-92f5-4f6675d690cd">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008d21c4-8a05-4a45-a881-623fa43da748}" ma:internalName="TaxCatchAll" ma:showField="CatchAllData" ma:web="55e60805-85e4-4338-92f5-4f6675d690c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5e60805-85e4-4338-92f5-4f6675d690cd" elementFormDefault="qualified">
    <xsd:import namespace="http://schemas.microsoft.com/office/2006/documentManagement/types"/>
    <xsd:import namespace="http://schemas.microsoft.com/office/infopath/2007/PartnerControls"/>
    <xsd:element name="Records_x0020_Status" ma:index="28" nillable="true" ma:displayName="Records Status" ma:default="Pending" ma:internalName="Records_x0020_Status">
      <xsd:simpleType>
        <xsd:restriction base="dms:Text"/>
      </xsd:simpleType>
    </xsd:element>
    <xsd:element name="Records_x0020_Date" ma:index="29" nillable="true" ma:displayName="Records Date" ma:hidden="true" ma:internalName="Records_x0020_Date">
      <xsd:simpleType>
        <xsd:restriction base="dms:DateTime"/>
      </xsd:simpleType>
    </xsd:element>
    <xsd:element name="SharedWithUsers" ma:index="4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1" nillable="true" ma:displayName="Shared With Details" ma:internalName="SharedWithDetails" ma:readOnly="true">
      <xsd:simpleType>
        <xsd:restriction base="dms:Note">
          <xsd:maxLength value="255"/>
        </xsd:restriction>
      </xsd:simpleType>
    </xsd:element>
    <xsd:element name="SharingHintHash" ma:index="42"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25b6c43-bd1a-413d-981d-df035846fcf1" elementFormDefault="qualified">
    <xsd:import namespace="http://schemas.microsoft.com/office/2006/documentManagement/types"/>
    <xsd:import namespace="http://schemas.microsoft.com/office/infopath/2007/PartnerControls"/>
    <xsd:element name="MediaServiceMetadata" ma:index="30" nillable="true" ma:displayName="MediaServiceMetadata" ma:hidden="true" ma:internalName="MediaServiceMetadata" ma:readOnly="true">
      <xsd:simpleType>
        <xsd:restriction base="dms:Note"/>
      </xsd:simpleType>
    </xsd:element>
    <xsd:element name="MediaServiceFastMetadata" ma:index="31" nillable="true" ma:displayName="MediaServiceFastMetadata" ma:hidden="true" ma:internalName="MediaServiceFastMetadata" ma:readOnly="true">
      <xsd:simpleType>
        <xsd:restriction base="dms:Note"/>
      </xsd:simpleType>
    </xsd:element>
    <xsd:element name="MediaServiceAutoTags" ma:index="32" nillable="true" ma:displayName="Tags" ma:internalName="MediaServiceAutoTags" ma:readOnly="true">
      <xsd:simpleType>
        <xsd:restriction base="dms:Text"/>
      </xsd:simpleType>
    </xsd:element>
    <xsd:element name="MediaServiceOCR" ma:index="33" nillable="true" ma:displayName="Extracted Text" ma:internalName="MediaServiceOCR" ma:readOnly="true">
      <xsd:simpleType>
        <xsd:restriction base="dms:Note">
          <xsd:maxLength value="255"/>
        </xsd:restriction>
      </xsd:simpleType>
    </xsd:element>
    <xsd:element name="MediaServiceGenerationTime" ma:index="34" nillable="true" ma:displayName="MediaServiceGenerationTime" ma:hidden="true" ma:internalName="MediaServiceGenerationTime" ma:readOnly="true">
      <xsd:simpleType>
        <xsd:restriction base="dms:Text"/>
      </xsd:simpleType>
    </xsd:element>
    <xsd:element name="MediaServiceEventHashCode" ma:index="35" nillable="true" ma:displayName="MediaServiceEventHashCode" ma:hidden="true" ma:internalName="MediaServiceEventHashCode" ma:readOnly="true">
      <xsd:simpleType>
        <xsd:restriction base="dms:Text"/>
      </xsd:simpleType>
    </xsd:element>
    <xsd:element name="MediaServiceDateTaken" ma:index="36" nillable="true" ma:displayName="MediaServiceDateTaken" ma:hidden="true" ma:internalName="MediaServiceDateTaken" ma:readOnly="true">
      <xsd:simpleType>
        <xsd:restriction base="dms:Text"/>
      </xsd:simpleType>
    </xsd:element>
    <xsd:element name="MediaServiceLocation" ma:index="37" nillable="true" ma:displayName="Location" ma:internalName="MediaServiceLocation" ma:readOnly="true">
      <xsd:simpleType>
        <xsd:restriction base="dms:Text"/>
      </xsd:simpleType>
    </xsd:element>
    <xsd:element name="MediaServiceAutoKeyPoints" ma:index="38" nillable="true" ma:displayName="MediaServiceAutoKeyPoints" ma:hidden="true" ma:internalName="MediaServiceAutoKeyPoints" ma:readOnly="true">
      <xsd:simpleType>
        <xsd:restriction base="dms:Note"/>
      </xsd:simpleType>
    </xsd:element>
    <xsd:element name="MediaServiceKeyPoints" ma:index="3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29f62856-1543-49d4-a736-4569d363f533" ContentTypeId="0x0101" PreviousValue="false"/>
</file>

<file path=customXml/itemProps1.xml><?xml version="1.0" encoding="utf-8"?>
<ds:datastoreItem xmlns:ds="http://schemas.openxmlformats.org/officeDocument/2006/customXml" ds:itemID="{F6ECF85A-24C6-4D7E-B7B3-B01E573E9002}">
  <ds:schemaRefs>
    <ds:schemaRef ds:uri="http://purl.org/dc/elements/1.1/"/>
    <ds:schemaRef ds:uri="http://schemas.microsoft.com/office/2006/metadata/properties"/>
    <ds:schemaRef ds:uri="http://schemas.microsoft.com/sharepoint/v3"/>
    <ds:schemaRef ds:uri="http://schemas.microsoft.com/office/infopath/2007/PartnerControls"/>
    <ds:schemaRef ds:uri="http://purl.org/dc/terms/"/>
    <ds:schemaRef ds:uri="http://schemas.openxmlformats.org/package/2006/metadata/core-properties"/>
    <ds:schemaRef ds:uri="b25b6c43-bd1a-413d-981d-df035846fcf1"/>
    <ds:schemaRef ds:uri="http://schemas.microsoft.com/office/2006/documentManagement/types"/>
    <ds:schemaRef ds:uri="55e60805-85e4-4338-92f5-4f6675d690cd"/>
    <ds:schemaRef ds:uri="http://schemas.microsoft.com/sharepoint/v3/fields"/>
    <ds:schemaRef ds:uri="http://schemas.microsoft.com/sharepoint.v3"/>
    <ds:schemaRef ds:uri="4ffa91fb-a0ff-4ac5-b2db-65c790d184a4"/>
    <ds:schemaRef ds:uri="http://www.w3.org/XML/1998/namespace"/>
    <ds:schemaRef ds:uri="http://purl.org/dc/dcmitype/"/>
  </ds:schemaRefs>
</ds:datastoreItem>
</file>

<file path=customXml/itemProps2.xml><?xml version="1.0" encoding="utf-8"?>
<ds:datastoreItem xmlns:ds="http://schemas.openxmlformats.org/officeDocument/2006/customXml" ds:itemID="{18DFFF1B-0E6B-4250-B8B5-4FBD9B12A2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55e60805-85e4-4338-92f5-4f6675d690cd"/>
    <ds:schemaRef ds:uri="b25b6c43-bd1a-413d-981d-df035846fc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E22CBFF-CD7B-4986-B589-A9484E11207A}">
  <ds:schemaRefs>
    <ds:schemaRef ds:uri="http://schemas.microsoft.com/sharepoint/v3/contenttype/forms"/>
  </ds:schemaRefs>
</ds:datastoreItem>
</file>

<file path=customXml/itemProps4.xml><?xml version="1.0" encoding="utf-8"?>
<ds:datastoreItem xmlns:ds="http://schemas.openxmlformats.org/officeDocument/2006/customXml" ds:itemID="{F78B6BB0-F7EE-499A-A897-7907A025AC0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Standards_Data</vt:lpstr>
      <vt:lpstr>Sketa22_Data</vt:lpstr>
      <vt:lpstr>Samples_Data</vt:lpstr>
      <vt:lpstr>Final Report</vt:lpstr>
    </vt:vector>
  </TitlesOfParts>
  <Manager>Walker.Lemuel@epa.gov</Manager>
  <Company>US EPA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Automated Data Analysis Tool for EPA Methods 1696 and 1697</dc:title>
  <dc:creator>Bone, Tracy</dc:creator>
  <cp:keywords>laboratory test procedure, Microbial Source Tracking, wastewater, MST, HF183</cp:keywords>
  <dc:description>This tool was designed to automate the analysis of data generated from a single instrument run using draft EPA Method 1696 and 1697.  Upon completion of data entry, the Excel macro will automatically perform all calculations for method proficiency, quality assurance and estimation of human-associated genetic marker concentration in test samples.</dc:description>
  <cp:lastModifiedBy>Shanks, Orin</cp:lastModifiedBy>
  <cp:lastPrinted>2016-01-28T13:43:15Z</cp:lastPrinted>
  <dcterms:created xsi:type="dcterms:W3CDTF">2014-12-01T16:52:32Z</dcterms:created>
  <dcterms:modified xsi:type="dcterms:W3CDTF">2023-09-27T12:20:39Z</dcterms:modified>
  <cp:category>CWA Analytical Methods</cp:category>
  <cp:contentStatus>March 2019</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0x0101009DFE9E112FB5B149AC6E9ACE885140AC</vt:lpwstr>
  </property>
</Properties>
</file>